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Pc\Desktop\CĂMINE 2026\CETINEI\"/>
    </mc:Choice>
  </mc:AlternateContent>
  <xr:revisionPtr revIDLastSave="0" documentId="13_ncr:1_{C35AD14D-89BC-4C65-8A92-F232B473F1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 benef + apartinatori" sheetId="1" r:id="rId1"/>
    <sheet name="Grade de dependenta" sheetId="2" r:id="rId2"/>
  </sheets>
  <definedNames>
    <definedName name="_Hlk203734156" localSheetId="0">'Tabel benef + apartinatori'!$B$14</definedName>
    <definedName name="_Hlk215939384" localSheetId="0">'Tabel benef + apartinatori'!#REF!</definedName>
    <definedName name="_Hlk216012084" localSheetId="0">'Tabel benef + apartinatori'!$B$20</definedName>
    <definedName name="_Hlk216864020" localSheetId="0">'Tabel benef + apartinatori'!$B$43</definedName>
  </definedNames>
  <calcPr calcId="191029"/>
</workbook>
</file>

<file path=xl/calcChain.xml><?xml version="1.0" encoding="utf-8"?>
<calcChain xmlns="http://schemas.openxmlformats.org/spreadsheetml/2006/main">
  <c r="E9" i="1" l="1"/>
  <c r="F9" i="1"/>
  <c r="E28" i="1" l="1"/>
  <c r="F28" i="1"/>
  <c r="E15" i="1"/>
  <c r="F15" i="1"/>
  <c r="E21" i="1"/>
  <c r="F21" i="1"/>
  <c r="E13" i="1"/>
  <c r="F13" i="1"/>
  <c r="E49" i="1"/>
  <c r="F49" i="1"/>
  <c r="E51" i="1"/>
  <c r="F51" i="1"/>
  <c r="F45" i="1"/>
  <c r="E45" i="1"/>
  <c r="E11" i="1"/>
  <c r="F11" i="1"/>
  <c r="E10" i="1"/>
  <c r="F10" i="1"/>
  <c r="E5" i="1"/>
  <c r="F5" i="1"/>
  <c r="F42" i="1"/>
  <c r="E42" i="1"/>
  <c r="E26" i="1"/>
  <c r="F26" i="1"/>
  <c r="E3" i="1"/>
  <c r="F3" i="1"/>
  <c r="E31" i="1"/>
  <c r="F31" i="1"/>
  <c r="F41" i="1"/>
  <c r="E41" i="1"/>
  <c r="F39" i="1"/>
  <c r="E39" i="1"/>
  <c r="E6" i="1"/>
  <c r="F6" i="1"/>
  <c r="E52" i="1"/>
  <c r="F52" i="1"/>
  <c r="E38" i="1"/>
  <c r="F38" i="1"/>
  <c r="E7" i="1"/>
  <c r="F7" i="1"/>
  <c r="E37" i="1"/>
  <c r="F37" i="1"/>
  <c r="E32" i="1"/>
  <c r="F32" i="1"/>
  <c r="E44" i="1"/>
  <c r="F44" i="1"/>
  <c r="E30" i="1"/>
  <c r="E43" i="1"/>
  <c r="F43" i="1"/>
  <c r="E29" i="1"/>
  <c r="F29" i="1"/>
  <c r="E24" i="1" l="1"/>
  <c r="F24" i="1"/>
  <c r="E4" i="1"/>
  <c r="F4" i="1"/>
  <c r="F25" i="1"/>
  <c r="E25" i="1"/>
  <c r="E14" i="1"/>
  <c r="F14" i="1"/>
  <c r="E46" i="1"/>
  <c r="F46" i="1"/>
  <c r="F40" i="1"/>
  <c r="F18" i="1"/>
  <c r="E40" i="1"/>
  <c r="E18" i="1"/>
  <c r="F30" i="1" l="1"/>
  <c r="F19" i="1" l="1"/>
  <c r="E19" i="1"/>
  <c r="F47" i="1"/>
  <c r="E47" i="1"/>
  <c r="F27" i="1"/>
  <c r="E27" i="1"/>
  <c r="F23" i="1"/>
  <c r="E23" i="1"/>
  <c r="F22" i="1"/>
  <c r="E22" i="1"/>
  <c r="F20" i="1"/>
  <c r="E20" i="1"/>
  <c r="F17" i="1"/>
  <c r="E17" i="1"/>
  <c r="F48" i="1"/>
  <c r="E48" i="1"/>
  <c r="F16" i="1"/>
  <c r="E16" i="1"/>
  <c r="F50" i="1"/>
  <c r="E50" i="1"/>
  <c r="F12" i="1"/>
  <c r="E12" i="1"/>
  <c r="F8" i="1"/>
  <c r="E8" i="1"/>
</calcChain>
</file>

<file path=xl/sharedStrings.xml><?xml version="1.0" encoding="utf-8"?>
<sst xmlns="http://schemas.openxmlformats.org/spreadsheetml/2006/main" count="615" uniqueCount="450">
  <si>
    <t>Nr Crt</t>
  </si>
  <si>
    <t>Nume si prenume</t>
  </si>
  <si>
    <t>CNP</t>
  </si>
  <si>
    <t>Varsta</t>
  </si>
  <si>
    <t>Zi nastere</t>
  </si>
  <si>
    <t>Serie si nr CI</t>
  </si>
  <si>
    <t>Andrei Aurica</t>
  </si>
  <si>
    <t>Argeșeanu Floarea</t>
  </si>
  <si>
    <t>Berilă Marin</t>
  </si>
  <si>
    <t>Constantin Gheorghe</t>
  </si>
  <si>
    <t>Damian Constantin</t>
  </si>
  <si>
    <t>David Ion</t>
  </si>
  <si>
    <t>Dudea Constantin</t>
  </si>
  <si>
    <t>IF nr. 134501</t>
  </si>
  <si>
    <t>IF nr. 770407</t>
  </si>
  <si>
    <t>jud. Ilfov, loc. Rudeni, str. 1 Decembrie, nr. 27A</t>
  </si>
  <si>
    <t>0762130174</t>
  </si>
  <si>
    <t>Dumitrache Costel</t>
  </si>
  <si>
    <t>Ghebaru Ion</t>
  </si>
  <si>
    <t>BC nr. 806291</t>
  </si>
  <si>
    <t>TR nr. 561198</t>
  </si>
  <si>
    <t>jud Teleorman, Com. Moșteni, sat. Moșteni, str. Andrei Constantin, nr. 395</t>
  </si>
  <si>
    <t>0766643283</t>
  </si>
  <si>
    <t>Gropoșilă Aurica</t>
  </si>
  <si>
    <t>Ionescu Petru Sebastian</t>
  </si>
  <si>
    <t>Luca Ioana</t>
  </si>
  <si>
    <t>GX nr. 168618</t>
  </si>
  <si>
    <t>Mun. Bucuresti, sector 5, str. Oltului, nr. 92</t>
  </si>
  <si>
    <t>RK nr. 894587</t>
  </si>
  <si>
    <t>0039 320 843 9070/ 0733809558</t>
  </si>
  <si>
    <t>Marian Ana Maria</t>
  </si>
  <si>
    <t>RR nr. 439747</t>
  </si>
  <si>
    <t>Mun. Bucuresti, Sector 3, Str. Istriei, nr. 7, bl. C6, sc. 2, et. 3, ap. 26</t>
  </si>
  <si>
    <t>DP nr. 169474</t>
  </si>
  <si>
    <t>0788900066</t>
  </si>
  <si>
    <t>Matei Gheorghița</t>
  </si>
  <si>
    <t>RR nr. 542001</t>
  </si>
  <si>
    <t>Mun. Bucuresti, sector 6, Cal. Giulesti, nr. 28, bl. 1, sc. A, et. 1, ap. 12</t>
  </si>
  <si>
    <t>DP nr. 187309</t>
  </si>
  <si>
    <t>0786467353</t>
  </si>
  <si>
    <t>Merlă Florea</t>
  </si>
  <si>
    <t>Mihai Constantin</t>
  </si>
  <si>
    <t>Mușat Andrei</t>
  </si>
  <si>
    <t>PX nr. 140119</t>
  </si>
  <si>
    <t>jud. Prahova, Com. Bărcănștinr.54, sat. Bătcănești, nr. 62</t>
  </si>
  <si>
    <t>PX nr. 775123</t>
  </si>
  <si>
    <t>Jud. PH, Mun. Ploiești, str. Dr. Carol Davila, nr. 7, bl. 119D, sc. A, ap. 1</t>
  </si>
  <si>
    <t>0729856342</t>
  </si>
  <si>
    <t>Nenciu Ion</t>
  </si>
  <si>
    <t>PH nr. 804265</t>
  </si>
  <si>
    <t>PH nr. 637323</t>
  </si>
  <si>
    <t>Jud. Prahova, loc. Popești, str. Piersicului, nr .83</t>
  </si>
  <si>
    <t>0727884406</t>
  </si>
  <si>
    <t>Petroi Dumitra</t>
  </si>
  <si>
    <t>Popa Vasilina</t>
  </si>
  <si>
    <t>RX nr. 703386</t>
  </si>
  <si>
    <t>RD nr. 942702</t>
  </si>
  <si>
    <t>Mun.Bucuresti, Sect. 1, str. Cluj, nr. 83, bl. 8B, sc. A, et. 8, ap. 36</t>
  </si>
  <si>
    <t>0744846588</t>
  </si>
  <si>
    <t>Rășniceru Ioana</t>
  </si>
  <si>
    <t>GG nr. 101050</t>
  </si>
  <si>
    <t>GG nr. 530208</t>
  </si>
  <si>
    <t>Jud. Giurgiu, loc. Ulmi, sat. Drăgăneasca, str. Sudului, nr. 19</t>
  </si>
  <si>
    <t>0730309957</t>
  </si>
  <si>
    <t>Șandru Ion</t>
  </si>
  <si>
    <t>RK nr. 587241</t>
  </si>
  <si>
    <t>Mun. Bucuresti, sector 3, Cal. Vitan, nr. 207-209, bl. 31, sc. 1, et. 7, ap. 45</t>
  </si>
  <si>
    <t>RZ nr. 184523</t>
  </si>
  <si>
    <t>0721307873</t>
  </si>
  <si>
    <t>Soare Stelian</t>
  </si>
  <si>
    <t>AP nr. 935906</t>
  </si>
  <si>
    <t>RK nr. 999217</t>
  </si>
  <si>
    <t>Mun. Bucuresti, sector 2, str. Ale. Oteșani, nr. 7</t>
  </si>
  <si>
    <t>0745118451 / 0740183724</t>
  </si>
  <si>
    <t>Ștefan Victoria</t>
  </si>
  <si>
    <t>IF nr. 887092</t>
  </si>
  <si>
    <t>RK nr. 202115</t>
  </si>
  <si>
    <t>Mun. Bucuresti, sector 2, str. Sg. Maj. Simion Busuioc, nr. 99 B</t>
  </si>
  <si>
    <t>0722873625</t>
  </si>
  <si>
    <t>Trușcă Ion</t>
  </si>
  <si>
    <t>Tudor Gabriela Rusalca</t>
  </si>
  <si>
    <t>Țuică Anișor</t>
  </si>
  <si>
    <t>Ioniță Lenuța</t>
  </si>
  <si>
    <t>PR nr. 312630</t>
  </si>
  <si>
    <t>Mun. București, Sect. 2, str. Int. Țiglelor, nr. 18</t>
  </si>
  <si>
    <t>RZ nr. 234555</t>
  </si>
  <si>
    <t>0773706437</t>
  </si>
  <si>
    <t>Ciocănel Anton</t>
  </si>
  <si>
    <t>Dima Florica</t>
  </si>
  <si>
    <t>Grade de dependenta</t>
  </si>
  <si>
    <t>I C</t>
  </si>
  <si>
    <t>I B</t>
  </si>
  <si>
    <t>II A</t>
  </si>
  <si>
    <t>I A</t>
  </si>
  <si>
    <t xml:space="preserve">Gall Ana </t>
  </si>
  <si>
    <t>RK nr. 785657</t>
  </si>
  <si>
    <t>Corman Nicolae</t>
  </si>
  <si>
    <t>II C</t>
  </si>
  <si>
    <t>Neagu Elena</t>
  </si>
  <si>
    <t>Mun. București, sect. 3, str. Codrii Neamțului, nr. 70,
bl. N18, sc. C, et. 3, ap. 27</t>
  </si>
  <si>
    <t>RK nr. 763928</t>
  </si>
  <si>
    <t>EXTERNĂRI</t>
  </si>
  <si>
    <t>DATA EXTERNĂRII</t>
  </si>
  <si>
    <t>EXTERNAT/TRANSFERAT/DECEDAT</t>
  </si>
  <si>
    <t>Data internare</t>
  </si>
  <si>
    <t>ILFOV, loc. Popești Leordeni, str Leordeni, nr. 93</t>
  </si>
  <si>
    <t>BUCUREȘTI, Sect. 2, str. Int. Țiglelor, nr. 18</t>
  </si>
  <si>
    <t>BUCUREȘTI, sector 5, str. Oltului, nr. 92</t>
  </si>
  <si>
    <t>BUCUREȘTI, Sector 3, Str. Istriei, nr. 7, bl. C6, sc. 2, et. 3, ap. 26</t>
  </si>
  <si>
    <t>BUCUREȘTI, sector 6, Cal. Giulesti, nr. 28, bl. 1, sc. A, et. 1, ap. 12</t>
  </si>
  <si>
    <t>BUCUREȘTI, sector 3, Str. Sold. Stelian N. Mihale, nr. 5, bl. 3, sc. 1, ap. 4</t>
  </si>
  <si>
    <t>BUCUREȘTI, sector 3, Cal. Vitan, nr. 207-209, bl. 31, sc. 1, et. 7, ap. 45</t>
  </si>
  <si>
    <t>BUCUREȘTI, sect. 3, str. Codrii Neamțului, nr. 70,
bl. N18, sc. C, et. 3, ap. 27</t>
  </si>
  <si>
    <t>TELEORMAN, Com. Moșteni, sat. Moșteni, str. Morii</t>
  </si>
  <si>
    <t>PRAHOVA, loc. Popești, str. Vișinilor, nr. 27</t>
  </si>
  <si>
    <t>GIURGIU, sat. Florești, com. Florești - Stoienești</t>
  </si>
  <si>
    <t>ILFOV, com. Ileana, sat. Arțari</t>
  </si>
  <si>
    <t>ILFOV, sat. Măineasca, com. Petrăchioaia, str. Sinești, nr. 53</t>
  </si>
  <si>
    <t>17.06.2024</t>
  </si>
  <si>
    <t>19.06.2024</t>
  </si>
  <si>
    <t>16.07.2024</t>
  </si>
  <si>
    <t>22.06.2024</t>
  </si>
  <si>
    <t>24.06.2024</t>
  </si>
  <si>
    <t>09.08.2024</t>
  </si>
  <si>
    <t>26.06.2024</t>
  </si>
  <si>
    <t>27.06.2024</t>
  </si>
  <si>
    <t>28.06.2024</t>
  </si>
  <si>
    <t>RD nr. 897077</t>
  </si>
  <si>
    <t>BUCURESTI, SECTOR 6, STR Vladeasa, nr.5, Bl. C69, Sc. 1, Et. 5, Ap. 32</t>
  </si>
  <si>
    <t>IF nr. 747561</t>
  </si>
  <si>
    <t>Covasna, sat. Zăbrătău (comuna Sita Buzăului), nr.1092</t>
  </si>
  <si>
    <t>KV nr. 458273</t>
  </si>
  <si>
    <t>24.12.2024</t>
  </si>
  <si>
    <t>RK nr. 9244177</t>
  </si>
  <si>
    <t>Bucuresti, sector 1, șoseaua Chitilei, nr. 52, et. 1, ap. 2</t>
  </si>
  <si>
    <t>IF nr. 483479</t>
  </si>
  <si>
    <t>21.11.2024</t>
  </si>
  <si>
    <t>Ilfov, Domnești, str. Baboi, br.131</t>
  </si>
  <si>
    <t>IF nr.483486</t>
  </si>
  <si>
    <t>07.11.2024</t>
  </si>
  <si>
    <t>Ilfov, Domnești, str. Baboi, nr.131</t>
  </si>
  <si>
    <t>Nr. contract</t>
  </si>
  <si>
    <t>Adresa</t>
  </si>
  <si>
    <t>Nume si prenume aparținător</t>
  </si>
  <si>
    <t>Nr.crt.</t>
  </si>
  <si>
    <t>Nr . telefon</t>
  </si>
  <si>
    <t>Nr. telefon</t>
  </si>
  <si>
    <t>0766602947(nepoata); +393299568543</t>
  </si>
  <si>
    <t>IF nr. 518760</t>
  </si>
  <si>
    <t>05.03.2025</t>
  </si>
  <si>
    <t>Județul Ilfov, Oraș Măgurele, Str.Atomiștilor, nr.1, bl.2, sc.1, ap.2</t>
  </si>
  <si>
    <t>ASIGURAT/NEASIGURAT</t>
  </si>
  <si>
    <t>Prahova, Sat. Ungureni (Com. Vadu Săpat), Nr.499</t>
  </si>
  <si>
    <t>PX nr. 984796</t>
  </si>
  <si>
    <t>07.06.2025</t>
  </si>
  <si>
    <t>IF nr. 840499</t>
  </si>
  <si>
    <t>Ilfov,  Sat. Dudu (Com. Chiajna), Str. Rezervelor, nr.54, bl. 7, et.4, ap.105</t>
  </si>
  <si>
    <t>Brăila, Comuna Galbenu</t>
  </si>
  <si>
    <t>BE nr. 764776</t>
  </si>
  <si>
    <t>14.06.2025</t>
  </si>
  <si>
    <t>BĂDIN LUCIA-DIANA</t>
  </si>
  <si>
    <t>AR nr. 798941</t>
  </si>
  <si>
    <t>Brăila, Mun. Brăila, Str. Rahovei, nr.34</t>
  </si>
  <si>
    <t>VĂDUVA MARIA</t>
  </si>
  <si>
    <t>ȘTEFAN VICTORIA</t>
  </si>
  <si>
    <t>SOARE STELIAN</t>
  </si>
  <si>
    <t>ȘANDRU ION</t>
  </si>
  <si>
    <t>RĂSNICERU IOANA</t>
  </si>
  <si>
    <t>POPA VASILINA</t>
  </si>
  <si>
    <t>NENCIU ION</t>
  </si>
  <si>
    <t>NEAGU ELENA</t>
  </si>
  <si>
    <t>NEAGOE GHEORGHE</t>
  </si>
  <si>
    <t>NEACȘU ION</t>
  </si>
  <si>
    <t>MUȘAT ANDREI</t>
  </si>
  <si>
    <t>MOCĂNAȘU VASILE</t>
  </si>
  <si>
    <t>MATEI GHEORGHIȚA</t>
  </si>
  <si>
    <t>MARIAN ANA-MARIA</t>
  </si>
  <si>
    <t>LUCA IOANA</t>
  </si>
  <si>
    <t>LĂU ANA</t>
  </si>
  <si>
    <t>IONIȚĂ LENUȚA</t>
  </si>
  <si>
    <t>GHEBARU ION</t>
  </si>
  <si>
    <t>DUDEA CONSTANTIN</t>
  </si>
  <si>
    <t>BIȚIANU COSTICĂ</t>
  </si>
  <si>
    <t>TRANDAFIR OANA-MIHAELA</t>
  </si>
  <si>
    <t>STĂNILĂ PETRE</t>
  </si>
  <si>
    <t>IONIȚĂ CARMEN-ELISABETA</t>
  </si>
  <si>
    <t>POJARNICU MARIUS-GABRIEL</t>
  </si>
  <si>
    <t>LUCA ȘTEFAN</t>
  </si>
  <si>
    <t>MARIAN CRISTIAN-NICOLAE</t>
  </si>
  <si>
    <t>SURUEANU LAURENȚIU-CRISTI</t>
  </si>
  <si>
    <t>MOCĂNAȘU ION (TUDORACHE IONUȚ)</t>
  </si>
  <si>
    <t>MUȘAT RODICA</t>
  </si>
  <si>
    <t>MUNTEANU GABRIEL</t>
  </si>
  <si>
    <t>NEAGOE NICOLETA-GABRIELA</t>
  </si>
  <si>
    <t>POMUHACI ANA</t>
  </si>
  <si>
    <t>NENCIU DANIEL</t>
  </si>
  <si>
    <t>IONESCU CRISTINA</t>
  </si>
  <si>
    <t>GRIGORE MARIA</t>
  </si>
  <si>
    <t>ȘANDRU IONUȚ-PUIU</t>
  </si>
  <si>
    <t>SOARE CONSTANTIN</t>
  </si>
  <si>
    <t>MACOVEI MARIAN</t>
  </si>
  <si>
    <t>STANCIU VIORICA</t>
  </si>
  <si>
    <t>IIB</t>
  </si>
  <si>
    <t>IIIA</t>
  </si>
  <si>
    <t>IIIB</t>
  </si>
  <si>
    <t>IIC</t>
  </si>
  <si>
    <t>IIA</t>
  </si>
  <si>
    <t>IB</t>
  </si>
  <si>
    <t>GRADE DEPENDENȚĂ</t>
  </si>
  <si>
    <t>CERTIFICAT DE HANDICAP</t>
  </si>
  <si>
    <t>TUTORE</t>
  </si>
  <si>
    <t>04.09.2025</t>
  </si>
  <si>
    <t xml:space="preserve">TUDOR MARIA </t>
  </si>
  <si>
    <t>TR nr. 561811</t>
  </si>
  <si>
    <t>Sat. Drăghinești ( Com. Gratia), Jud. Teleorman, Str. Tabaci, ne. 16</t>
  </si>
  <si>
    <t>TUDOR FLORIN</t>
  </si>
  <si>
    <t>TR nr. 661205</t>
  </si>
  <si>
    <t>0799977950</t>
  </si>
  <si>
    <t>TANGREANU DUMITRA</t>
  </si>
  <si>
    <t>DK nr.935092</t>
  </si>
  <si>
    <t>10.10.2025</t>
  </si>
  <si>
    <t>București, Sector 5, Strada Oltului, nr.94A</t>
  </si>
  <si>
    <t>CARAMIHAI ADRIANA-CAMELIA</t>
  </si>
  <si>
    <t>RZ nr.422017</t>
  </si>
  <si>
    <t>București, Sector 2, Str. Cristea Mateescu, nr.1, bl.T4A, et.1, ap.9</t>
  </si>
  <si>
    <t>SPAS</t>
  </si>
  <si>
    <t>Jud. Teleorman, Sat. Drăghinești ( Com. Gratia), Str. Tabaci, nr. 16</t>
  </si>
  <si>
    <t>CH nr.3850/21.10.2024, permanent, grav cu asistent personal, cod boală F00</t>
  </si>
  <si>
    <t>CH nr.5216/19.08.2024, permanent, grav cu asistent personal</t>
  </si>
  <si>
    <t>CH nr.1913/09.05.2019,  permanent, accentuat</t>
  </si>
  <si>
    <t>CH nr.07/10.01.2024, permanent, grav cu asistent personal</t>
  </si>
  <si>
    <t>CH nr.1148/06.02.2023 permanent, grav cu asistent personal</t>
  </si>
  <si>
    <t>CH nr.3206/24.08.2023, permanent, grav cu asistent personal</t>
  </si>
  <si>
    <t>CH nr.2229/08.05.2025, permanent, grav cu asistent personal</t>
  </si>
  <si>
    <t>CH nr.2702/17.08.2021, permanent, grav cu asistent personal</t>
  </si>
  <si>
    <t>CH nr.7076/03.09.2025, 24 luni, grav cu asistent personal, cod boală F01; F03</t>
  </si>
  <si>
    <t>CH nr.6993/24.10.2024, 24 luni, grav cu asistent personal</t>
  </si>
  <si>
    <t>Ilfov, Sat Varteju, Oras. Magurele, Str Sabarului, nr. 44B</t>
  </si>
  <si>
    <t>SUCIU COSTIN</t>
  </si>
  <si>
    <t>RK nr.006173</t>
  </si>
  <si>
    <t>28.10.2025</t>
  </si>
  <si>
    <t>București, Sector 4, Strada Reșița, nr.21, bl.50, sc.2, et.2, ap.79</t>
  </si>
  <si>
    <t>PĂTLĂGICĂ ANTONICA</t>
  </si>
  <si>
    <t>RR nr.741529</t>
  </si>
  <si>
    <t>SAVU ȘTEFANA</t>
  </si>
  <si>
    <t>RR nr. 527041</t>
  </si>
  <si>
    <t>03.11.2025</t>
  </si>
  <si>
    <t>București, Sector 6, Drm. Valea Ursului, nr.4</t>
  </si>
  <si>
    <t>SAVU MANUEL-AURELIAN</t>
  </si>
  <si>
    <t>RK nr.563292</t>
  </si>
  <si>
    <t>0754592495;0314358309</t>
  </si>
  <si>
    <t>VOICU MARIOARA</t>
  </si>
  <si>
    <t>RT nr. 205082</t>
  </si>
  <si>
    <t>16.11.2025</t>
  </si>
  <si>
    <r>
      <t>București, Sector 5, Cal. Rahovei, nr. 356</t>
    </r>
    <r>
      <rPr>
        <sz val="11"/>
        <color theme="1"/>
        <rFont val="Cambria"/>
        <family val="1"/>
      </rPr>
      <t>, bl.16, sc.2, et.8, ap.133</t>
    </r>
  </si>
  <si>
    <t>TENIE MARICICA</t>
  </si>
  <si>
    <t>RK nr.678215</t>
  </si>
  <si>
    <t>București, Sector 5, Cal. 13 Septembrie, nr.97, bl.93, sc.A, et.5, ap.17</t>
  </si>
  <si>
    <t>TĂRĂBICESCU VIORICA</t>
  </si>
  <si>
    <t>DA nr. 645723</t>
  </si>
  <si>
    <t>14.11.2025</t>
  </si>
  <si>
    <t>IAMANDI MARIAN</t>
  </si>
  <si>
    <t>IF nr. 920029</t>
  </si>
  <si>
    <t>Ilfov, Sat. Domnești (Comuna Domnești), Str. Olimpicilor, nr.2D</t>
  </si>
  <si>
    <t>primaria_galbenu@yahoo.com; galbenu@br.e-ad.ro, Comuna Galbenu, Str. Primăriei, 0339401385; 0771093394</t>
  </si>
  <si>
    <t>contact@dgaspc4.ro, Bucuresti, Sector 4, B-dul Metalurgiei, Nr. 12-18, 0372 756 313</t>
  </si>
  <si>
    <t>office@dgaspc5.ro, Str. Fabrica de Chibrituri nr. 9-11, sector 5, 21310</t>
  </si>
  <si>
    <t>office@dgaspc3.ro, Adresa: Strada Parfumului, nr. 2-4, Sector 3, 0372126100;   0213410713</t>
  </si>
  <si>
    <t>social@social2.ro, Str. Olari nr. 15, 021252.22.02</t>
  </si>
  <si>
    <t>office@dgaspc6.com, Aleea Istru 4B, București 061912, 0316 208 017</t>
  </si>
  <si>
    <t>contact@primaria-petrachioaia.ro, sat. Petrăchioaia, str.Vânători, nr.300, Ilfov, 40213617443 interior106</t>
  </si>
  <si>
    <t>social@floresti-stoenesti.ro, comuna Florești-Stoenești, Giurgiu, 246256258 interior 3</t>
  </si>
  <si>
    <t>sitabuzaului@yahoo.com, comuna Sita Buzăului, nr.222, județ Covasna, 267373090</t>
  </si>
  <si>
    <t>primaria.ph@barcanesti.ro, Str. Crinilor, nr. 108, satul , județ Prahova, 0244 276 595</t>
  </si>
  <si>
    <t>București, Sector 2, str. Gheorghe Țițeica, nr.74</t>
  </si>
  <si>
    <t>SOARE LUCIEA</t>
  </si>
  <si>
    <t>IA</t>
  </si>
  <si>
    <t>BE nr.550164</t>
  </si>
  <si>
    <t>22.11.2025</t>
  </si>
  <si>
    <t>Mun. București, Sector 2, Strada Ciocîrliei, nr.14, bl.D9,sc.1, et.8</t>
  </si>
  <si>
    <t xml:space="preserve">COSTACHE CORNELIA </t>
  </si>
  <si>
    <t>MB nr.1052508</t>
  </si>
  <si>
    <t>Mun. București, Sector 2, Str. Ciocârliei, nr.14, bl.D9, sc.A, ap.47</t>
  </si>
  <si>
    <t>COCOȘILĂ PARASCHIVA</t>
  </si>
  <si>
    <t>28.11.2025</t>
  </si>
  <si>
    <t>MB nr. 1038425</t>
  </si>
  <si>
    <t>Mun. București, Sector 6, Str. Țincani, nr.5, bl. Z24, sc.1, et.1 ap. 10</t>
  </si>
  <si>
    <t>COCOȘILĂ CRISTIAN-MARIAN</t>
  </si>
  <si>
    <t xml:space="preserve">RZ nr. 920029 </t>
  </si>
  <si>
    <t>DRAGOMIR CONSTANTIN</t>
  </si>
  <si>
    <t>KL nr. 497042</t>
  </si>
  <si>
    <t>07.12.2025</t>
  </si>
  <si>
    <t>Călărași, Sat. Răzoarele (Com. Ileana)</t>
  </si>
  <si>
    <t>DRAGOMIR MARIUS-GABRIEL</t>
  </si>
  <si>
    <t>RK nr.604325</t>
  </si>
  <si>
    <t>București, Sector 5, Ale. Vicina, nr.2, bl.9, sc.1, et.4, ap.18</t>
  </si>
  <si>
    <t>766798232; 0761827499</t>
  </si>
  <si>
    <t>CHELU VIORICA</t>
  </si>
  <si>
    <t>RR nr. 217529</t>
  </si>
  <si>
    <t>06.12.2025</t>
  </si>
  <si>
    <t>București, Sector 5, Str.Teiuș, nr.1, bl.10, sc.1, et.2, ap.7</t>
  </si>
  <si>
    <t>BARBU IONICA</t>
  </si>
  <si>
    <t>0740149519;0721304405</t>
  </si>
  <si>
    <t>NU ARE</t>
  </si>
  <si>
    <t>CH nr.426/05.02.2025, permanent, grav cu asistent personal</t>
  </si>
  <si>
    <t>CAPDEFIER CONSTANTIN</t>
  </si>
  <si>
    <t>DS nr. 247847</t>
  </si>
  <si>
    <t>17.12.2025</t>
  </si>
  <si>
    <t>Jud. TR, Orș. Zimnicea, Str. Plopilor, nr.1</t>
  </si>
  <si>
    <t>CAPDEFIER-VĂTAFU DRAGNE</t>
  </si>
  <si>
    <t xml:space="preserve">1661018345384, </t>
  </si>
  <si>
    <t>TR nr. 875516</t>
  </si>
  <si>
    <t>Jud. TR, Orș. Zimnicea, Str. Romană, bl.29B, sc.A, et.2, ap.7</t>
  </si>
  <si>
    <t>0737568804; 0730602060</t>
  </si>
  <si>
    <t>dpas@orasulzimmnicea.ro, Oraș Zimnicea, Str.Giurgiu, nr.1, Jud. Teleorman, 0247367038</t>
  </si>
  <si>
    <t>02.01.2026</t>
  </si>
  <si>
    <t>DECEDAT, ORA 16:10</t>
  </si>
  <si>
    <t>CH nr.4343/18.11.2025, 12 luni, grav cu asistent personal</t>
  </si>
  <si>
    <t>19.01.2026</t>
  </si>
  <si>
    <t>DECEDAT SUUB</t>
  </si>
  <si>
    <t>POPA PETRU</t>
  </si>
  <si>
    <t>14.01.2026</t>
  </si>
  <si>
    <t>20.01.2026</t>
  </si>
  <si>
    <t>GG nr. 274969</t>
  </si>
  <si>
    <t>21.01.2026</t>
  </si>
  <si>
    <t>Sat.Drăgăneasca(Com.Ulmi), Jud.Giurgiu</t>
  </si>
  <si>
    <t>POPA VASILE</t>
  </si>
  <si>
    <t xml:space="preserve">RK nr. 230155 </t>
  </si>
  <si>
    <t>Mun.București, Sector 6, Str.Aragonitului, nr.2, bl.N24, sc.1, et.2, ap.10</t>
  </si>
  <si>
    <t>primariaulmi.2007@yahoo.com, Comuna Ulmi, Județul Giurgiu, 0246255046</t>
  </si>
  <si>
    <t>26.01.2026</t>
  </si>
  <si>
    <t>BĂNICĂ FLOAREA</t>
  </si>
  <si>
    <t>STAMATE-SOCHIORI CONSTANȚA</t>
  </si>
  <si>
    <t>RX nr. 354304</t>
  </si>
  <si>
    <t>25.01.2026</t>
  </si>
  <si>
    <t>București, Sec.1, Str.G-ral Cristian Tell, nr.17-19, et.2, ap.5</t>
  </si>
  <si>
    <t>REBEGEA ȘTEFANIA</t>
  </si>
  <si>
    <t>RK nr. 614365</t>
  </si>
  <si>
    <t>București, Sec.2, Șos.Fundeni, nr.5, bl.D22, sc.A, et.8, ap.47</t>
  </si>
  <si>
    <t>registratura@dgaspc-sectorul1.ro; prestatii.dezabilitatii@dgaspc-sectorul1.ro, Bdul. Mareșal Averescu nr.17, Sector 1, București, 212234197</t>
  </si>
  <si>
    <t>IF nr. 641432</t>
  </si>
  <si>
    <t>Jud.Ilfov, Sat.Domnești(Com.Domnești),  Str.Florești, nr. 14</t>
  </si>
  <si>
    <t>DUMITRU RADU-FLORIN</t>
  </si>
  <si>
    <t xml:space="preserve">IF nr.822359 </t>
  </si>
  <si>
    <t xml:space="preserve">primariadomnestiif@primariadomnesti.ro, Sos. Alexandru Ioan Cuza, nr. 25-27 ,Ilfov, 021351 52 56, 021351 52 57 </t>
  </si>
  <si>
    <t>VASILE TEODOR</t>
  </si>
  <si>
    <t>GR nr.958400</t>
  </si>
  <si>
    <t>29.01.2026</t>
  </si>
  <si>
    <t>București, Sector 5, Strada Piața M.Kogălniceanu, nr.8, b ,sc.C, et.4, ap.32</t>
  </si>
  <si>
    <t xml:space="preserve">PATENTAȘU CONSTANȚA </t>
  </si>
  <si>
    <t>DG nr.014176</t>
  </si>
  <si>
    <t>București, Sector 6, Str. Aleea Băiuț, nr.1117, bl.M29bls, sc.B, et.3, ap.49</t>
  </si>
  <si>
    <t>734550921; 0722501162</t>
  </si>
  <si>
    <t>ÎN CURS</t>
  </si>
  <si>
    <t>CH nr.8814/20.10.2025, permanent, grav cu asistent personal, cod boală F03</t>
  </si>
  <si>
    <t>04.03.2026</t>
  </si>
  <si>
    <t>DECEDAT, ORA 12.50</t>
  </si>
  <si>
    <t>GÎREA MARIA</t>
  </si>
  <si>
    <t>BD nr. 718543</t>
  </si>
  <si>
    <t>05.03.2026</t>
  </si>
  <si>
    <t>Com. Glodeanu Sărat, Jud.Buzău</t>
  </si>
  <si>
    <t>GÎREA MIOARA-FELICIA</t>
  </si>
  <si>
    <t>RZ nr.203865</t>
  </si>
  <si>
    <t>Mun. București, Sector 5, Str. Antiaeriană, nr.6A117, bl. A10, sc.1, et.3, ap.29</t>
  </si>
  <si>
    <t xml:space="preserve">primaria.glodeaanusarat@gmil.com, Glodeanu Sărat, Str.Primăriei, nr.93, județul Buzău, </t>
  </si>
  <si>
    <t>DECEDAT SPITALUL MILITAR</t>
  </si>
  <si>
    <t>CH nr.1730/29.09.2003, permanent, deficiență funcțională accentuată</t>
  </si>
  <si>
    <t>BUCUR MARIA</t>
  </si>
  <si>
    <t>PX nr. 580201</t>
  </si>
  <si>
    <t>18.03.2026</t>
  </si>
  <si>
    <t>Mun. Ploiești, Str. Merilor, nr.21, Județ Prahova</t>
  </si>
  <si>
    <t>MIȚILĂ ȘTEFĂNIȚĂ</t>
  </si>
  <si>
    <t>PX nr. 928460</t>
  </si>
  <si>
    <t>Mun. Ploiești, Str. Mândra, nr.10, bl.4, sc.B, et.1, ap.8, Jud. Prahova</t>
  </si>
  <si>
    <t>office@dgaspcph.ro, Mun. Ploiești, Șoseaua Vestului, nr.14-16, Județ Prahova, 0244586100</t>
  </si>
  <si>
    <t>12.03.2026</t>
  </si>
  <si>
    <t>STĂNCULESCU AURICA</t>
  </si>
  <si>
    <t>DD nr. 417271</t>
  </si>
  <si>
    <t>24.03.2026</t>
  </si>
  <si>
    <t xml:space="preserve"> Dîmbovița, Oraș Titu, Str. I.C. Visarion, nr.45, bl.7A, sc.A,et.3, ap.1</t>
  </si>
  <si>
    <t>STĂNCULESCU BOGDAN-IOAN</t>
  </si>
  <si>
    <t>DB nr. 1003279</t>
  </si>
  <si>
    <t>Dîmbovița, Oraș Titu, Str. I.C. Visarion, nr.1, bl.B2b, ap.11</t>
  </si>
  <si>
    <t>CH nr.950/19.03.2026, permanent, grav cu asistent personal</t>
  </si>
  <si>
    <t>ENE RODICA</t>
  </si>
  <si>
    <t>ENE MARIAN</t>
  </si>
  <si>
    <t>RX nr. 702616</t>
  </si>
  <si>
    <t>24.04.2026</t>
  </si>
  <si>
    <t>București, sector 4, Str. Huedin, nr.1, bl. M43, sc. 2, et.3, ap. 84</t>
  </si>
  <si>
    <t>STĂNESCU GHEORGHE-FLORENTINA</t>
  </si>
  <si>
    <t>RZ nr. 380594</t>
  </si>
  <si>
    <t>București, Sector 1, Str. Borșa, nr. 26-28, bl. 3H, sc. 1, et.3, ap. 11</t>
  </si>
  <si>
    <t>0766281218; 0745045618</t>
  </si>
  <si>
    <t>RT nr. 892980</t>
  </si>
  <si>
    <t>CH nr1887/07.09.2021, permanent, grav cu asistent personal</t>
  </si>
  <si>
    <t>CH nr.1369/16.04.2026, permanent, grav cu asistent personal</t>
  </si>
  <si>
    <t>06.05.2026</t>
  </si>
  <si>
    <t>22.05.2026</t>
  </si>
  <si>
    <t>EXTERNAT</t>
  </si>
  <si>
    <t>ARE, DAR NU DOREȘTE SĂ NI-L DEA</t>
  </si>
  <si>
    <t>NEAGOE VASILE</t>
  </si>
  <si>
    <t>UNGUREANU CORNELIA-MARILENA</t>
  </si>
  <si>
    <t>OT nr. 305375</t>
  </si>
  <si>
    <t>03.06.2026</t>
  </si>
  <si>
    <t>Olt, Sat.Frăsinetu (Com. Dobrosloveni)</t>
  </si>
  <si>
    <t>RZ nr. 446755</t>
  </si>
  <si>
    <t>București, Sector 6, Str. 9 Mai, nr. 4, bl. 22A, et.4, ap. 23</t>
  </si>
  <si>
    <t>FIALCOVSCHI VIOREL</t>
  </si>
  <si>
    <t>RZ nr. 000409</t>
  </si>
  <si>
    <t>01.06.2026</t>
  </si>
  <si>
    <t>București, Sector 6, Str. Brașov, nr.20, bl. OD1, sc. 1, et.2, ap. 9</t>
  </si>
  <si>
    <t>FIALCOVSCHI NEPTINA</t>
  </si>
  <si>
    <t>RD nr. 862156</t>
  </si>
  <si>
    <t>București, Sector 6, Ale. Câmpul cu Flori, nr. 2, bl. D27, et.3, ap. 10</t>
  </si>
  <si>
    <t>CH nr.1409/07.05.2026, permanent, grav cu asistent personal</t>
  </si>
  <si>
    <t>09.06.2026</t>
  </si>
  <si>
    <t>EXTERNATĂ</t>
  </si>
  <si>
    <t>16.06.2026</t>
  </si>
  <si>
    <t>22.06.2026</t>
  </si>
  <si>
    <t>ÎNSCRIS</t>
  </si>
  <si>
    <t>NÎ</t>
  </si>
  <si>
    <t>CH nr.4310/08.06.2026, 12 luni, grav cu asistent personal</t>
  </si>
  <si>
    <t>PITORAC ILIE</t>
  </si>
  <si>
    <t>RK nr.276695</t>
  </si>
  <si>
    <t>29.06.2026</t>
  </si>
  <si>
    <t>București, Sector 5, Strada Făt Frumos, nr.8, bl. P16, sc.1, et.7, ap.22</t>
  </si>
  <si>
    <t>MITAN CRISTINA-ELENA</t>
  </si>
  <si>
    <t>DP nr.184813</t>
  </si>
  <si>
    <t>București, Sector 6, Str. Ileana Cosânzeana, nr.1, bl.S31, sc.1, ap.3</t>
  </si>
  <si>
    <t>LUNGAN HORTENZIA</t>
  </si>
  <si>
    <t>DV nr. 035395</t>
  </si>
  <si>
    <t>01.07.2026</t>
  </si>
  <si>
    <t>București, Sector 6, Str. Potaisa, nr.1, bl.P1, sc.3, et.2, ap.25</t>
  </si>
  <si>
    <t>LUNGAN ANTOANELA-LILIANA</t>
  </si>
  <si>
    <t>RZ nr. 515195</t>
  </si>
  <si>
    <t>02.07.2026</t>
  </si>
  <si>
    <t>DECEDAT, ORA 19.30</t>
  </si>
  <si>
    <t>15.07.2026</t>
  </si>
  <si>
    <t>DECEDAT, ORA 13.30</t>
  </si>
  <si>
    <t>ȘUȚĂ IOANA</t>
  </si>
  <si>
    <t>BR nr. 722630</t>
  </si>
  <si>
    <t>20.07.2026</t>
  </si>
  <si>
    <t>București, Sector 1, Str. Știrbei Vodă, nr.65, bl. A, sc.A, et.5, ap. 12</t>
  </si>
  <si>
    <t>ȘUȚĂ OCTAVIAN-VASILE</t>
  </si>
  <si>
    <t>RK nr. 471696</t>
  </si>
  <si>
    <t>București, Sector 6, Str. Dealu Țugulea, nr. 46-50, bl. 12, sc.A, et.1 ap. 8</t>
  </si>
  <si>
    <t>EFTIMIE MIHAI</t>
  </si>
  <si>
    <t>RD nr.806106</t>
  </si>
  <si>
    <t>București, Sector 6, Str. Cap.Petre Mișcă, nr.5, bl. M18, sc.1, et.1, ap.9</t>
  </si>
  <si>
    <t>24.07.2026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</si>
</sst>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dd\ mmm\ yyyy"/>
    <numFmt numFmtId="166" formatCode="[$-409]d\-mmm\-yy;@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1"/>
      <color rgb="FFFF0000"/>
      <name val="Cambria"/>
      <family val="1"/>
    </font>
    <font>
      <sz val="11"/>
      <color theme="1"/>
      <name val="Georgia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Georgia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9"/>
      <color rgb="FFFF0000"/>
      <name val="Cambria"/>
      <family val="1"/>
    </font>
    <font>
      <sz val="9"/>
      <color theme="1"/>
      <name val="Cambria"/>
      <family val="1"/>
    </font>
    <font>
      <sz val="11"/>
      <color theme="10"/>
      <name val="Calibri"/>
      <family val="2"/>
      <scheme val="minor"/>
    </font>
    <font>
      <sz val="9"/>
      <name val="Cambria"/>
      <family val="1"/>
    </font>
    <font>
      <sz val="1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/>
    <xf numFmtId="0" fontId="8" fillId="0" borderId="0" xfId="0" applyFont="1"/>
    <xf numFmtId="0" fontId="9" fillId="0" borderId="1" xfId="0" applyFont="1" applyBorder="1"/>
    <xf numFmtId="0" fontId="3" fillId="0" borderId="0" xfId="0" applyFont="1"/>
    <xf numFmtId="164" fontId="9" fillId="0" borderId="0" xfId="0" applyNumberFormat="1" applyFont="1" applyAlignment="1">
      <alignment horizontal="left"/>
    </xf>
    <xf numFmtId="1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left"/>
    </xf>
    <xf numFmtId="0" fontId="9" fillId="0" borderId="0" xfId="0" applyFont="1"/>
    <xf numFmtId="1" fontId="9" fillId="0" borderId="0" xfId="0" applyNumberFormat="1" applyFont="1" applyAlignment="1">
      <alignment horizontal="left"/>
    </xf>
    <xf numFmtId="1" fontId="9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11" fillId="0" borderId="1" xfId="0" applyFont="1" applyBorder="1"/>
    <xf numFmtId="0" fontId="11" fillId="0" borderId="0" xfId="0" applyFont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left"/>
    </xf>
    <xf numFmtId="164" fontId="9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quotePrefix="1" applyFont="1" applyBorder="1" applyAlignment="1">
      <alignment horizontal="left"/>
    </xf>
    <xf numFmtId="0" fontId="13" fillId="0" borderId="0" xfId="0" applyFont="1"/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0" fontId="9" fillId="5" borderId="1" xfId="0" applyFont="1" applyFill="1" applyBorder="1"/>
    <xf numFmtId="0" fontId="14" fillId="0" borderId="1" xfId="0" applyFont="1" applyBorder="1" applyAlignment="1">
      <alignment horizontal="center" vertical="top"/>
    </xf>
    <xf numFmtId="164" fontId="9" fillId="0" borderId="0" xfId="0" applyNumberFormat="1" applyFont="1" applyAlignment="1">
      <alignment horizontal="center"/>
    </xf>
    <xf numFmtId="0" fontId="11" fillId="3" borderId="0" xfId="0" applyFont="1" applyFill="1" applyAlignment="1">
      <alignment horizontal="center" vertical="top"/>
    </xf>
    <xf numFmtId="0" fontId="6" fillId="0" borderId="0" xfId="0" applyFont="1"/>
    <xf numFmtId="0" fontId="3" fillId="5" borderId="1" xfId="0" applyFont="1" applyFill="1" applyBorder="1" applyAlignment="1">
      <alignment horizontal="center" wrapText="1"/>
    </xf>
    <xf numFmtId="1" fontId="9" fillId="0" borderId="3" xfId="0" applyNumberFormat="1" applyFont="1" applyBorder="1" applyAlignment="1">
      <alignment horizontal="center"/>
    </xf>
    <xf numFmtId="0" fontId="9" fillId="0" borderId="3" xfId="0" applyFont="1" applyBorder="1"/>
    <xf numFmtId="0" fontId="15" fillId="0" borderId="1" xfId="0" applyFont="1" applyBorder="1"/>
    <xf numFmtId="0" fontId="6" fillId="0" borderId="1" xfId="0" applyFont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9" fillId="5" borderId="5" xfId="0" applyFont="1" applyFill="1" applyBorder="1"/>
    <xf numFmtId="0" fontId="6" fillId="3" borderId="1" xfId="0" applyFont="1" applyFill="1" applyBorder="1" applyAlignment="1">
      <alignment horizontal="center" vertical="top"/>
    </xf>
    <xf numFmtId="0" fontId="18" fillId="0" borderId="1" xfId="0" applyFont="1" applyBorder="1"/>
    <xf numFmtId="1" fontId="9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 vertical="top"/>
    </xf>
    <xf numFmtId="14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9" fillId="0" borderId="6" xfId="0" applyFont="1" applyBorder="1"/>
    <xf numFmtId="0" fontId="3" fillId="5" borderId="1" xfId="0" applyFont="1" applyFill="1" applyBorder="1" applyAlignment="1">
      <alignment wrapText="1"/>
    </xf>
    <xf numFmtId="0" fontId="19" fillId="0" borderId="1" xfId="0" applyFont="1" applyBorder="1"/>
    <xf numFmtId="14" fontId="9" fillId="0" borderId="1" xfId="0" applyNumberFormat="1" applyFont="1" applyBorder="1" applyAlignment="1">
      <alignment horizontal="center"/>
    </xf>
    <xf numFmtId="0" fontId="16" fillId="0" borderId="0" xfId="1" applyBorder="1" applyAlignment="1">
      <alignment wrapText="1"/>
    </xf>
    <xf numFmtId="0" fontId="20" fillId="0" borderId="1" xfId="0" applyFont="1" applyBorder="1"/>
    <xf numFmtId="0" fontId="21" fillId="0" borderId="1" xfId="0" applyFont="1" applyBorder="1" applyAlignment="1">
      <alignment wrapText="1"/>
    </xf>
    <xf numFmtId="0" fontId="22" fillId="0" borderId="5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2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65" fontId="8" fillId="0" borderId="3" xfId="0" applyNumberFormat="1" applyFont="1" applyBorder="1" applyAlignment="1">
      <alignment horizontal="left"/>
    </xf>
    <xf numFmtId="0" fontId="8" fillId="0" borderId="3" xfId="0" applyFont="1" applyBorder="1"/>
    <xf numFmtId="0" fontId="3" fillId="0" borderId="3" xfId="0" applyFont="1" applyBorder="1"/>
    <xf numFmtId="0" fontId="9" fillId="0" borderId="3" xfId="0" applyFont="1" applyBorder="1" applyAlignment="1">
      <alignment horizontal="left"/>
    </xf>
    <xf numFmtId="1" fontId="15" fillId="0" borderId="1" xfId="0" applyNumberFormat="1" applyFont="1" applyBorder="1" applyAlignment="1">
      <alignment horizontal="center"/>
    </xf>
    <xf numFmtId="0" fontId="16" fillId="0" borderId="1" xfId="1" applyBorder="1" applyAlignment="1">
      <alignment horizontal="center" wrapText="1"/>
    </xf>
    <xf numFmtId="0" fontId="17" fillId="0" borderId="1" xfId="0" applyFont="1" applyBorder="1"/>
    <xf numFmtId="0" fontId="12" fillId="0" borderId="1" xfId="0" applyFont="1" applyBorder="1"/>
    <xf numFmtId="0" fontId="0" fillId="0" borderId="1" xfId="0" applyBorder="1" applyAlignment="1">
      <alignment horizontal="left"/>
    </xf>
    <xf numFmtId="0" fontId="14" fillId="0" borderId="1" xfId="0" applyFont="1" applyBorder="1" applyAlignment="1">
      <alignment horizontal="center"/>
    </xf>
    <xf numFmtId="0" fontId="23" fillId="0" borderId="1" xfId="1" applyFont="1" applyBorder="1" applyAlignment="1">
      <alignment horizontal="center" wrapText="1"/>
    </xf>
    <xf numFmtId="0" fontId="9" fillId="0" borderId="1" xfId="0" quotePrefix="1" applyFont="1" applyBorder="1"/>
    <xf numFmtId="0" fontId="10" fillId="0" borderId="1" xfId="0" quotePrefix="1" applyFont="1" applyBorder="1"/>
    <xf numFmtId="0" fontId="24" fillId="0" borderId="5" xfId="0" applyFont="1" applyBorder="1" applyAlignment="1">
      <alignment wrapText="1"/>
    </xf>
    <xf numFmtId="0" fontId="21" fillId="0" borderId="5" xfId="0" applyFont="1" applyBorder="1" applyAlignment="1">
      <alignment wrapText="1"/>
    </xf>
    <xf numFmtId="0" fontId="17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64" fontId="8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12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9" fillId="0" borderId="3" xfId="0" applyNumberFormat="1" applyFont="1" applyBorder="1" applyAlignment="1">
      <alignment horizontal="center"/>
    </xf>
    <xf numFmtId="0" fontId="9" fillId="0" borderId="4" xfId="0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ffice@dgaspc6.com,%20Aleea%20Istru%204B,%20Bucure&#537;ti%20061912,%200316%20208%20017" TargetMode="External"/><Relationship Id="rId13" Type="http://schemas.openxmlformats.org/officeDocument/2006/relationships/hyperlink" Target="mailto:primaria.ph@barcanesti.ro,%20Str.%20Crinilor,%20nr.%20108,%20satul&#160;,%20jude&#539;%20Prahova,%200244%20276%20595" TargetMode="External"/><Relationship Id="rId18" Type="http://schemas.openxmlformats.org/officeDocument/2006/relationships/hyperlink" Target="mailto:primaria.glodeaanusarat@gmil.com,%20Glodeanu%20S&#259;rat,%20Str.Prim&#259;riei,%20nr.93,%20jude&#539;ul%20Buz&#259;u," TargetMode="External"/><Relationship Id="rId3" Type="http://schemas.openxmlformats.org/officeDocument/2006/relationships/hyperlink" Target="mailto:office@dgaspc5.ro,%20Str.%20Fabrica%20de%20Chibrituri%20nr.%209-11,%20sector%205,%2021310" TargetMode="External"/><Relationship Id="rId21" Type="http://schemas.openxmlformats.org/officeDocument/2006/relationships/hyperlink" Target="mailto:office@dgaspc6.com,%20Aleea%20Istru%204B,%20Bucure&#537;ti%20061912,%200316%20208%20017" TargetMode="External"/><Relationship Id="rId7" Type="http://schemas.openxmlformats.org/officeDocument/2006/relationships/hyperlink" Target="mailto:social@social2.ro,%20Str.%20Olari%20nr.%2015,%20021252.22.02" TargetMode="External"/><Relationship Id="rId12" Type="http://schemas.openxmlformats.org/officeDocument/2006/relationships/hyperlink" Target="mailto:sitabuzaului@yahoo.com,%20comuna%20Sita%20Buz&#259;ului,%20nr.222,%20jude&#539;%20Covasna,%20267373090" TargetMode="External"/><Relationship Id="rId17" Type="http://schemas.openxmlformats.org/officeDocument/2006/relationships/hyperlink" Target="mailto:primariadomnestiif@primariadomnesti.ro,%20Sos.%20Alexandru%20Ioan%20Cuza,%20nr.%2025-27%20,Ilfov,%20021351%2052%2056,%20021351%2052%2057" TargetMode="External"/><Relationship Id="rId2" Type="http://schemas.openxmlformats.org/officeDocument/2006/relationships/hyperlink" Target="mailto:office@dgaspc5.ro,%20Str.%20Fabrica%20de%20Chibrituri%20nr.%209-11,%20sector%205,%2021310" TargetMode="External"/><Relationship Id="rId16" Type="http://schemas.openxmlformats.org/officeDocument/2006/relationships/hyperlink" Target="mailto:primariaulmi.2007@yahoo.com,%20Comuna%20Ulmi,%20Jude&#539;ul%20Giurgiu,%200246255046" TargetMode="External"/><Relationship Id="rId20" Type="http://schemas.openxmlformats.org/officeDocument/2006/relationships/hyperlink" Target="mailto:office@dgaspc6.com,%20Aleea%20Istru%204B,%20Bucure&#537;ti%20061912,%200316%20208%20017" TargetMode="External"/><Relationship Id="rId1" Type="http://schemas.openxmlformats.org/officeDocument/2006/relationships/hyperlink" Target="mailto:contact@dgaspc4.ro,%20Bucuresti,%20Sector%204,%20B-dul%20Metalurgiei,%20Nr.%2012-18,%200372%20756%20313" TargetMode="External"/><Relationship Id="rId6" Type="http://schemas.openxmlformats.org/officeDocument/2006/relationships/hyperlink" Target="mailto:office@dgaspc3.ro,%20Adresa:&#160;Strada%20Parfumului,%20nr.%202-4,%20Sector%203,%200372126100;%20%20%200213410713" TargetMode="External"/><Relationship Id="rId11" Type="http://schemas.openxmlformats.org/officeDocument/2006/relationships/hyperlink" Target="mailto:social@floresti-stoenesti.ro,%20comuna%20Flore&#537;ti-Stoene&#537;ti,%20Giurgiu,%20246256258%20interior%203" TargetMode="External"/><Relationship Id="rId5" Type="http://schemas.openxmlformats.org/officeDocument/2006/relationships/hyperlink" Target="mailto:office@dgaspc3.ro,%20Adresa:&#160;Strada%20Parfumului,%20nr.%202-4,%20Sector%203,%200372126100;%20%20%200213410713" TargetMode="External"/><Relationship Id="rId15" Type="http://schemas.openxmlformats.org/officeDocument/2006/relationships/hyperlink" Target="mailto:office@dgaspc5.ro,%20Str.%20Fabrica%20de%20Chibrituri%20nr.%209-11,%20sector%205,%2021310" TargetMode="External"/><Relationship Id="rId10" Type="http://schemas.openxmlformats.org/officeDocument/2006/relationships/hyperlink" Target="mailto:contact@primaria-petrachioaia.ro,%20sat.%20Petr&#259;chioaia,%20str.V&#226;n&#259;tori,%20nr.300,%20Ilfov,%2040213617443%20interior106" TargetMode="External"/><Relationship Id="rId19" Type="http://schemas.openxmlformats.org/officeDocument/2006/relationships/hyperlink" Target="mailto:contact@dgaspc4.ro,%20Bucuresti,%20Sector%204,%20B-dul%20Metalurgiei,%20Nr.%2012-18,%200372%20756%20313" TargetMode="External"/><Relationship Id="rId4" Type="http://schemas.openxmlformats.org/officeDocument/2006/relationships/hyperlink" Target="mailto:office@dgaspc5.ro,%20Str.%20Fabrica%20de%20Chibrituri%20nr.%209-11,%20sector%205,%2021310" TargetMode="External"/><Relationship Id="rId9" Type="http://schemas.openxmlformats.org/officeDocument/2006/relationships/hyperlink" Target="mailto:office@dgaspc6.com,%20Aleea%20Istru%204B,%20Bucure&#537;ti%20061912,%200316%20208%20017" TargetMode="External"/><Relationship Id="rId14" Type="http://schemas.openxmlformats.org/officeDocument/2006/relationships/hyperlink" Target="mailto:dpas@orasulzimmnicea.ro,%20Ora&#537;%20Zimnicea,%20Str.Giurgiu,%20nr.1,%20Jud.%20Teleorman,%200247367038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3"/>
  <sheetViews>
    <sheetView tabSelected="1" workbookViewId="0">
      <selection activeCell="B3" sqref="B3:I32"/>
    </sheetView>
  </sheetViews>
  <sheetFormatPr defaultColWidth="22.109375" defaultRowHeight="19.350000000000001" customHeight="1"/>
  <cols>
    <col min="1" max="1" width="3.44140625" style="12" customWidth="1"/>
    <col min="2" max="2" width="26" style="21" customWidth="1"/>
    <col min="3" max="3" width="7.33203125" style="21" customWidth="1"/>
    <col min="4" max="4" width="17.88671875" style="13" customWidth="1"/>
    <col min="5" max="5" width="7.21875" style="14" customWidth="1"/>
    <col min="6" max="6" width="12.77734375" style="15" customWidth="1"/>
    <col min="7" max="7" width="14.33203125" style="16" customWidth="1"/>
    <col min="8" max="8" width="9.77734375" style="16" customWidth="1"/>
    <col min="9" max="9" width="11.21875" style="16" customWidth="1"/>
    <col min="10" max="10" width="40" style="16" customWidth="1"/>
    <col min="11" max="11" width="29.21875" style="12" customWidth="1"/>
    <col min="12" max="12" width="16.44140625" style="17" customWidth="1"/>
    <col min="13" max="13" width="14.109375" style="16" customWidth="1"/>
    <col min="14" max="14" width="46.109375" style="16" customWidth="1"/>
    <col min="15" max="15" width="36" style="16" customWidth="1"/>
    <col min="16" max="16" width="15" style="16" customWidth="1"/>
    <col min="17" max="17" width="29.109375" style="16" customWidth="1"/>
    <col min="18" max="18" width="11.109375" style="16" customWidth="1"/>
    <col min="19" max="19" width="40" style="16" customWidth="1"/>
    <col min="20" max="16384" width="22.109375" style="16"/>
  </cols>
  <sheetData>
    <row r="1" spans="1:71" ht="38.4" customHeight="1">
      <c r="A1" s="39" t="s">
        <v>144</v>
      </c>
      <c r="B1" s="40" t="s">
        <v>1</v>
      </c>
      <c r="C1" s="50" t="s">
        <v>208</v>
      </c>
      <c r="D1" s="41" t="s">
        <v>2</v>
      </c>
      <c r="E1" s="42" t="s">
        <v>3</v>
      </c>
      <c r="F1" s="43" t="s">
        <v>4</v>
      </c>
      <c r="G1" s="42" t="s">
        <v>5</v>
      </c>
      <c r="H1" s="50" t="s">
        <v>141</v>
      </c>
      <c r="I1" s="50" t="s">
        <v>104</v>
      </c>
      <c r="J1" s="42" t="s">
        <v>142</v>
      </c>
      <c r="K1" s="42" t="s">
        <v>143</v>
      </c>
      <c r="L1" s="44" t="s">
        <v>2</v>
      </c>
      <c r="M1" s="42" t="s">
        <v>5</v>
      </c>
      <c r="N1" s="42" t="s">
        <v>142</v>
      </c>
      <c r="O1" s="42" t="s">
        <v>146</v>
      </c>
      <c r="P1" s="65" t="s">
        <v>151</v>
      </c>
      <c r="Q1" s="55" t="s">
        <v>209</v>
      </c>
      <c r="R1" s="42" t="s">
        <v>210</v>
      </c>
      <c r="S1" s="42" t="s">
        <v>225</v>
      </c>
    </row>
    <row r="2" spans="1:71" ht="19.350000000000001" customHeight="1">
      <c r="A2" s="39"/>
      <c r="B2" s="40"/>
      <c r="C2" s="40"/>
      <c r="D2" s="41"/>
      <c r="E2" s="42"/>
      <c r="F2" s="43"/>
      <c r="G2" s="42"/>
      <c r="H2" s="42"/>
      <c r="I2" s="42"/>
      <c r="J2" s="42"/>
      <c r="K2" s="42"/>
      <c r="L2" s="44"/>
      <c r="M2" s="42"/>
      <c r="N2" s="42"/>
      <c r="O2" s="42"/>
      <c r="P2" s="45"/>
      <c r="Q2" s="56"/>
      <c r="R2" s="45"/>
      <c r="S2" s="45"/>
    </row>
    <row r="3" spans="1:71" ht="27" customHeight="1">
      <c r="A3" s="57">
        <v>1</v>
      </c>
      <c r="B3" s="8" t="s">
        <v>331</v>
      </c>
      <c r="C3" s="54" t="s">
        <v>206</v>
      </c>
      <c r="D3" s="27">
        <v>2581208400050</v>
      </c>
      <c r="E3" s="25">
        <f t="shared" ref="E3:E32" ca="1" si="0">DATEDIF(DATE(MID(D3,2,2),MID(D3,4,2),MID(D3,6,2)),TODAY(),"y")</f>
        <v>67</v>
      </c>
      <c r="F3" s="26">
        <f t="shared" ref="F3:F32" si="1">DATE(IF(LEFT(D3,1)*1&lt;=2,MID(D3,2,2),MID(D3,2,2)+100),MID(D3,4,2),MID(D3,6,2))</f>
        <v>21527</v>
      </c>
      <c r="G3" s="11" t="s">
        <v>340</v>
      </c>
      <c r="H3" s="23">
        <v>97</v>
      </c>
      <c r="I3" s="23" t="s">
        <v>330</v>
      </c>
      <c r="J3" s="11" t="s">
        <v>341</v>
      </c>
      <c r="K3" s="6" t="s">
        <v>342</v>
      </c>
      <c r="L3" s="18">
        <v>1890609340911</v>
      </c>
      <c r="M3" s="11" t="s">
        <v>343</v>
      </c>
      <c r="N3" s="11" t="s">
        <v>341</v>
      </c>
      <c r="O3" s="22">
        <v>732643623</v>
      </c>
      <c r="P3" s="46" t="s">
        <v>420</v>
      </c>
      <c r="Q3" s="70" t="s">
        <v>303</v>
      </c>
      <c r="R3" s="11"/>
      <c r="S3" s="86" t="s">
        <v>344</v>
      </c>
    </row>
    <row r="4" spans="1:71" ht="21.6" customHeight="1">
      <c r="A4" s="57">
        <v>2</v>
      </c>
      <c r="B4" s="8" t="s">
        <v>182</v>
      </c>
      <c r="C4" s="54" t="s">
        <v>204</v>
      </c>
      <c r="D4" s="28">
        <v>1470927092234</v>
      </c>
      <c r="E4" s="25">
        <f t="shared" ca="1" si="0"/>
        <v>78</v>
      </c>
      <c r="F4" s="26">
        <f t="shared" si="1"/>
        <v>17437</v>
      </c>
      <c r="G4" s="19" t="s">
        <v>158</v>
      </c>
      <c r="H4" s="29">
        <v>324</v>
      </c>
      <c r="I4" s="29" t="s">
        <v>159</v>
      </c>
      <c r="J4" s="11" t="s">
        <v>157</v>
      </c>
      <c r="K4" s="6" t="s">
        <v>160</v>
      </c>
      <c r="L4" s="18">
        <v>2880531090070</v>
      </c>
      <c r="M4" s="11" t="s">
        <v>161</v>
      </c>
      <c r="N4" s="11" t="s">
        <v>162</v>
      </c>
      <c r="O4" s="22">
        <v>739974220</v>
      </c>
      <c r="P4" s="90" t="s">
        <v>419</v>
      </c>
      <c r="Q4" s="71" t="s">
        <v>233</v>
      </c>
      <c r="R4" s="11"/>
      <c r="S4" s="99" t="s">
        <v>264</v>
      </c>
    </row>
    <row r="5" spans="1:71" ht="19.350000000000001" customHeight="1">
      <c r="A5" s="57">
        <v>3</v>
      </c>
      <c r="B5" s="8" t="s">
        <v>367</v>
      </c>
      <c r="C5" s="54" t="s">
        <v>203</v>
      </c>
      <c r="D5" s="27">
        <v>2590621293160</v>
      </c>
      <c r="E5" s="25">
        <f t="shared" ca="1" si="0"/>
        <v>67</v>
      </c>
      <c r="F5" s="26">
        <f t="shared" si="1"/>
        <v>21722</v>
      </c>
      <c r="G5" s="66" t="s">
        <v>368</v>
      </c>
      <c r="H5" s="23">
        <v>228</v>
      </c>
      <c r="I5" s="67" t="s">
        <v>369</v>
      </c>
      <c r="J5" s="66" t="s">
        <v>370</v>
      </c>
      <c r="K5" s="6" t="s">
        <v>371</v>
      </c>
      <c r="L5" s="18">
        <v>1850419297321</v>
      </c>
      <c r="M5" s="11" t="s">
        <v>372</v>
      </c>
      <c r="N5" s="11" t="s">
        <v>373</v>
      </c>
      <c r="O5" s="22">
        <v>732525323</v>
      </c>
      <c r="P5" s="90" t="s">
        <v>419</v>
      </c>
      <c r="Q5" s="71" t="s">
        <v>421</v>
      </c>
      <c r="R5" s="11"/>
      <c r="S5" s="100" t="s">
        <v>374</v>
      </c>
    </row>
    <row r="6" spans="1:71" s="10" customFormat="1" ht="19.350000000000001" customHeight="1">
      <c r="A6" s="57">
        <v>4</v>
      </c>
      <c r="B6" s="8" t="s">
        <v>305</v>
      </c>
      <c r="C6" s="54" t="s">
        <v>206</v>
      </c>
      <c r="D6" s="27">
        <v>1371111345388</v>
      </c>
      <c r="E6" s="25">
        <f t="shared" ca="1" si="0"/>
        <v>88</v>
      </c>
      <c r="F6" s="26">
        <f t="shared" si="1"/>
        <v>13830</v>
      </c>
      <c r="G6" s="66" t="s">
        <v>306</v>
      </c>
      <c r="H6" s="23">
        <v>892</v>
      </c>
      <c r="I6" s="67" t="s">
        <v>307</v>
      </c>
      <c r="J6" s="66" t="s">
        <v>308</v>
      </c>
      <c r="K6" s="6" t="s">
        <v>309</v>
      </c>
      <c r="L6" s="18" t="s">
        <v>310</v>
      </c>
      <c r="M6" s="11" t="s">
        <v>311</v>
      </c>
      <c r="N6" s="11" t="s">
        <v>312</v>
      </c>
      <c r="O6" s="22" t="s">
        <v>313</v>
      </c>
      <c r="P6" s="90" t="s">
        <v>419</v>
      </c>
      <c r="Q6" s="70" t="s">
        <v>353</v>
      </c>
      <c r="R6" s="11"/>
      <c r="S6" s="86" t="s">
        <v>314</v>
      </c>
    </row>
    <row r="7" spans="1:71" ht="19.8" customHeight="1">
      <c r="A7" s="57">
        <v>5</v>
      </c>
      <c r="B7" s="8" t="s">
        <v>283</v>
      </c>
      <c r="C7" s="54" t="s">
        <v>276</v>
      </c>
      <c r="D7" s="27">
        <v>2290126280797</v>
      </c>
      <c r="E7" s="25">
        <f t="shared" ca="1" si="0"/>
        <v>97</v>
      </c>
      <c r="F7" s="26">
        <f t="shared" si="1"/>
        <v>10619</v>
      </c>
      <c r="G7" s="66" t="s">
        <v>285</v>
      </c>
      <c r="H7" s="23">
        <v>811</v>
      </c>
      <c r="I7" s="67" t="s">
        <v>284</v>
      </c>
      <c r="J7" s="66" t="s">
        <v>286</v>
      </c>
      <c r="K7" s="6" t="s">
        <v>287</v>
      </c>
      <c r="L7" s="18">
        <v>1560613280794</v>
      </c>
      <c r="M7" s="11" t="s">
        <v>288</v>
      </c>
      <c r="N7" s="11" t="s">
        <v>286</v>
      </c>
      <c r="O7" s="22">
        <v>721259629</v>
      </c>
      <c r="P7" s="90" t="s">
        <v>419</v>
      </c>
      <c r="Q7" s="94" t="s">
        <v>395</v>
      </c>
      <c r="R7" s="11"/>
      <c r="S7" s="86" t="s">
        <v>268</v>
      </c>
    </row>
    <row r="8" spans="1:71" ht="19.350000000000001" customHeight="1">
      <c r="A8" s="57">
        <v>6</v>
      </c>
      <c r="B8" s="8" t="s">
        <v>181</v>
      </c>
      <c r="C8" s="54" t="s">
        <v>206</v>
      </c>
      <c r="D8" s="28">
        <v>1510604400118</v>
      </c>
      <c r="E8" s="25">
        <f t="shared" ca="1" si="0"/>
        <v>75</v>
      </c>
      <c r="F8" s="26">
        <f t="shared" si="1"/>
        <v>18783</v>
      </c>
      <c r="G8" s="19" t="s">
        <v>13</v>
      </c>
      <c r="H8" s="29">
        <v>50</v>
      </c>
      <c r="I8" s="29" t="s">
        <v>118</v>
      </c>
      <c r="J8" s="11" t="s">
        <v>105</v>
      </c>
      <c r="K8" s="6" t="s">
        <v>183</v>
      </c>
      <c r="L8" s="18">
        <v>2780804431516</v>
      </c>
      <c r="M8" s="11" t="s">
        <v>14</v>
      </c>
      <c r="N8" s="11" t="s">
        <v>15</v>
      </c>
      <c r="O8" s="92" t="s">
        <v>16</v>
      </c>
      <c r="P8" s="90" t="s">
        <v>419</v>
      </c>
      <c r="Q8" s="95" t="s">
        <v>399</v>
      </c>
      <c r="R8" s="19"/>
      <c r="S8" s="86" t="s">
        <v>266</v>
      </c>
    </row>
    <row r="9" spans="1:71" ht="19.350000000000001" customHeight="1">
      <c r="A9" s="57">
        <v>7</v>
      </c>
      <c r="B9" s="8" t="s">
        <v>446</v>
      </c>
      <c r="C9" s="24" t="s">
        <v>203</v>
      </c>
      <c r="D9" s="106">
        <v>1530903400083</v>
      </c>
      <c r="E9" s="25">
        <f t="shared" ca="1" si="0"/>
        <v>72</v>
      </c>
      <c r="F9" s="26">
        <f t="shared" si="1"/>
        <v>19605</v>
      </c>
      <c r="G9" s="26" t="s">
        <v>447</v>
      </c>
      <c r="H9" s="107">
        <v>184</v>
      </c>
      <c r="I9" s="23" t="s">
        <v>449</v>
      </c>
      <c r="J9" s="67" t="s">
        <v>448</v>
      </c>
      <c r="K9" s="66"/>
      <c r="L9" s="18"/>
      <c r="M9" s="11"/>
      <c r="N9" s="11"/>
      <c r="O9" s="22">
        <v>790961628</v>
      </c>
      <c r="P9" s="90" t="s">
        <v>419</v>
      </c>
      <c r="Q9" s="70" t="s">
        <v>303</v>
      </c>
      <c r="R9" s="11"/>
      <c r="S9" s="91" t="s">
        <v>269</v>
      </c>
    </row>
    <row r="10" spans="1:71" s="11" customFormat="1" ht="19.350000000000001" customHeight="1">
      <c r="A10" s="57">
        <v>8</v>
      </c>
      <c r="B10" s="8" t="s">
        <v>385</v>
      </c>
      <c r="C10" s="54" t="s">
        <v>203</v>
      </c>
      <c r="D10" s="27">
        <v>1520217400764</v>
      </c>
      <c r="E10" s="25">
        <f t="shared" ca="1" si="0"/>
        <v>74</v>
      </c>
      <c r="F10" s="26">
        <f t="shared" si="1"/>
        <v>19041</v>
      </c>
      <c r="G10" s="66" t="s">
        <v>393</v>
      </c>
      <c r="H10" s="23">
        <v>548</v>
      </c>
      <c r="I10" s="67" t="s">
        <v>387</v>
      </c>
      <c r="J10" s="66" t="s">
        <v>388</v>
      </c>
      <c r="K10" s="6" t="s">
        <v>389</v>
      </c>
      <c r="L10" s="18">
        <v>2600618400106</v>
      </c>
      <c r="M10" s="11" t="s">
        <v>390</v>
      </c>
      <c r="N10" s="11" t="s">
        <v>391</v>
      </c>
      <c r="O10" s="22" t="s">
        <v>392</v>
      </c>
      <c r="P10" s="90" t="s">
        <v>419</v>
      </c>
      <c r="Q10" s="71" t="s">
        <v>394</v>
      </c>
      <c r="S10" s="91" t="s">
        <v>265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</row>
    <row r="11" spans="1:71" ht="19.350000000000001" customHeight="1">
      <c r="A11" s="57">
        <v>9</v>
      </c>
      <c r="B11" s="8" t="s">
        <v>384</v>
      </c>
      <c r="C11" s="54" t="s">
        <v>207</v>
      </c>
      <c r="D11" s="27">
        <v>2560727400308</v>
      </c>
      <c r="E11" s="25">
        <f t="shared" ca="1" si="0"/>
        <v>69</v>
      </c>
      <c r="F11" s="26">
        <f t="shared" si="1"/>
        <v>20663</v>
      </c>
      <c r="G11" s="66" t="s">
        <v>386</v>
      </c>
      <c r="H11" s="23">
        <v>565</v>
      </c>
      <c r="I11" s="67" t="s">
        <v>387</v>
      </c>
      <c r="J11" s="66" t="s">
        <v>388</v>
      </c>
      <c r="K11" s="6" t="s">
        <v>389</v>
      </c>
      <c r="L11" s="18">
        <v>2600618400106</v>
      </c>
      <c r="M11" s="11" t="s">
        <v>390</v>
      </c>
      <c r="N11" s="11" t="s">
        <v>391</v>
      </c>
      <c r="O11" s="22" t="s">
        <v>392</v>
      </c>
      <c r="P11" s="90" t="s">
        <v>419</v>
      </c>
      <c r="Q11" s="70" t="s">
        <v>353</v>
      </c>
      <c r="R11" s="11"/>
      <c r="S11" s="86" t="s">
        <v>265</v>
      </c>
    </row>
    <row r="12" spans="1:71" ht="19.350000000000001" customHeight="1">
      <c r="A12" s="57">
        <v>10</v>
      </c>
      <c r="B12" s="8" t="s">
        <v>180</v>
      </c>
      <c r="C12" s="54" t="s">
        <v>203</v>
      </c>
      <c r="D12" s="28">
        <v>1461110341335</v>
      </c>
      <c r="E12" s="25">
        <f t="shared" ca="1" si="0"/>
        <v>79</v>
      </c>
      <c r="F12" s="26">
        <f t="shared" si="1"/>
        <v>17116</v>
      </c>
      <c r="G12" s="19" t="s">
        <v>19</v>
      </c>
      <c r="H12" s="29">
        <v>66</v>
      </c>
      <c r="I12" s="29" t="s">
        <v>118</v>
      </c>
      <c r="J12" s="19" t="s">
        <v>113</v>
      </c>
      <c r="K12" s="6" t="s">
        <v>184</v>
      </c>
      <c r="L12" s="18">
        <v>1610831341331</v>
      </c>
      <c r="M12" s="11" t="s">
        <v>20</v>
      </c>
      <c r="N12" s="19" t="s">
        <v>21</v>
      </c>
      <c r="O12" s="93" t="s">
        <v>22</v>
      </c>
      <c r="P12" s="46" t="s">
        <v>420</v>
      </c>
      <c r="Q12" s="72" t="s">
        <v>234</v>
      </c>
      <c r="R12" s="11"/>
      <c r="S12" s="86" t="s">
        <v>267</v>
      </c>
    </row>
    <row r="13" spans="1:71" ht="19.350000000000001" customHeight="1">
      <c r="A13" s="57">
        <v>11</v>
      </c>
      <c r="B13" s="8" t="s">
        <v>357</v>
      </c>
      <c r="C13" s="54" t="s">
        <v>203</v>
      </c>
      <c r="D13" s="27">
        <v>2440329100021</v>
      </c>
      <c r="E13" s="25">
        <f t="shared" ca="1" si="0"/>
        <v>82</v>
      </c>
      <c r="F13" s="26">
        <f t="shared" si="1"/>
        <v>16160</v>
      </c>
      <c r="G13" s="66" t="s">
        <v>358</v>
      </c>
      <c r="H13" s="23">
        <v>201</v>
      </c>
      <c r="I13" s="67" t="s">
        <v>359</v>
      </c>
      <c r="J13" s="66" t="s">
        <v>360</v>
      </c>
      <c r="K13" s="6" t="s">
        <v>361</v>
      </c>
      <c r="L13" s="18">
        <v>2690729100011</v>
      </c>
      <c r="M13" s="11" t="s">
        <v>362</v>
      </c>
      <c r="N13" s="11" t="s">
        <v>363</v>
      </c>
      <c r="O13" s="22">
        <v>763330827</v>
      </c>
      <c r="P13" s="46" t="s">
        <v>420</v>
      </c>
      <c r="Q13" s="95" t="s">
        <v>303</v>
      </c>
      <c r="R13" s="11"/>
      <c r="S13" s="86" t="s">
        <v>269</v>
      </c>
    </row>
    <row r="14" spans="1:71" ht="19.350000000000001" customHeight="1">
      <c r="A14" s="57">
        <v>12</v>
      </c>
      <c r="B14" s="8" t="s">
        <v>178</v>
      </c>
      <c r="C14" s="54" t="s">
        <v>203</v>
      </c>
      <c r="D14" s="25">
        <v>2450622400437</v>
      </c>
      <c r="E14" s="25">
        <f t="shared" ca="1" si="0"/>
        <v>81</v>
      </c>
      <c r="F14" s="26">
        <f t="shared" si="1"/>
        <v>16610</v>
      </c>
      <c r="G14" s="19" t="s">
        <v>153</v>
      </c>
      <c r="H14" s="29">
        <v>312</v>
      </c>
      <c r="I14" s="29" t="s">
        <v>154</v>
      </c>
      <c r="J14" s="11" t="s">
        <v>152</v>
      </c>
      <c r="K14" s="12" t="s">
        <v>186</v>
      </c>
      <c r="L14" s="18">
        <v>1670930443034</v>
      </c>
      <c r="M14" s="11" t="s">
        <v>155</v>
      </c>
      <c r="N14" s="16" t="s">
        <v>156</v>
      </c>
      <c r="O14" s="30">
        <v>733015336</v>
      </c>
      <c r="P14" s="90" t="s">
        <v>419</v>
      </c>
      <c r="Q14" s="71" t="s">
        <v>235</v>
      </c>
      <c r="R14" s="11"/>
      <c r="S14" s="86" t="s">
        <v>273</v>
      </c>
    </row>
    <row r="15" spans="1:71" ht="19.350000000000001" customHeight="1">
      <c r="A15" s="57">
        <v>13</v>
      </c>
      <c r="B15" s="8" t="s">
        <v>429</v>
      </c>
      <c r="C15" s="54" t="s">
        <v>206</v>
      </c>
      <c r="D15" s="27">
        <v>2371128400444</v>
      </c>
      <c r="E15" s="25">
        <f t="shared" ca="1" si="0"/>
        <v>88</v>
      </c>
      <c r="F15" s="26">
        <f t="shared" si="1"/>
        <v>13847</v>
      </c>
      <c r="G15" s="66" t="s">
        <v>430</v>
      </c>
      <c r="H15" s="108">
        <v>540</v>
      </c>
      <c r="I15" s="109" t="s">
        <v>431</v>
      </c>
      <c r="J15" s="66" t="s">
        <v>432</v>
      </c>
      <c r="K15" s="6" t="s">
        <v>433</v>
      </c>
      <c r="L15" s="51">
        <v>2660125463015</v>
      </c>
      <c r="M15" s="52" t="s">
        <v>434</v>
      </c>
      <c r="N15" s="16" t="s">
        <v>432</v>
      </c>
      <c r="O15" s="84">
        <v>723397584</v>
      </c>
      <c r="P15" s="46" t="s">
        <v>420</v>
      </c>
      <c r="Q15" s="95" t="s">
        <v>303</v>
      </c>
      <c r="R15" s="11"/>
      <c r="S15" s="86" t="s">
        <v>269</v>
      </c>
    </row>
    <row r="16" spans="1:71" ht="19.350000000000001" customHeight="1">
      <c r="A16" s="57">
        <v>14</v>
      </c>
      <c r="B16" s="8" t="s">
        <v>176</v>
      </c>
      <c r="C16" s="54" t="s">
        <v>203</v>
      </c>
      <c r="D16" s="28">
        <v>2500908400367</v>
      </c>
      <c r="E16" s="25">
        <f t="shared" ca="1" si="0"/>
        <v>75</v>
      </c>
      <c r="F16" s="26">
        <f t="shared" si="1"/>
        <v>18514</v>
      </c>
      <c r="G16" s="19" t="s">
        <v>31</v>
      </c>
      <c r="H16" s="62">
        <v>106</v>
      </c>
      <c r="I16" s="62" t="s">
        <v>119</v>
      </c>
      <c r="J16" s="11" t="s">
        <v>108</v>
      </c>
      <c r="K16" s="6" t="s">
        <v>188</v>
      </c>
      <c r="L16" s="51">
        <v>1790501431531</v>
      </c>
      <c r="M16" s="52" t="s">
        <v>33</v>
      </c>
      <c r="N16" s="52" t="s">
        <v>32</v>
      </c>
      <c r="O16" s="110" t="s">
        <v>34</v>
      </c>
      <c r="P16" s="90" t="s">
        <v>419</v>
      </c>
      <c r="Q16" s="73" t="s">
        <v>227</v>
      </c>
      <c r="R16" s="11"/>
      <c r="S16" s="86" t="s">
        <v>272</v>
      </c>
    </row>
    <row r="17" spans="1:19" ht="19.350000000000001" customHeight="1">
      <c r="A17" s="57">
        <v>15</v>
      </c>
      <c r="B17" s="8" t="s">
        <v>173</v>
      </c>
      <c r="C17" s="54" t="s">
        <v>203</v>
      </c>
      <c r="D17" s="28">
        <v>1531224293156</v>
      </c>
      <c r="E17" s="25">
        <f t="shared" ca="1" si="0"/>
        <v>72</v>
      </c>
      <c r="F17" s="26">
        <f t="shared" si="1"/>
        <v>19717</v>
      </c>
      <c r="G17" s="19" t="s">
        <v>43</v>
      </c>
      <c r="H17" s="29">
        <v>138</v>
      </c>
      <c r="I17" s="29" t="s">
        <v>122</v>
      </c>
      <c r="J17" s="11" t="s">
        <v>44</v>
      </c>
      <c r="K17" s="6" t="s">
        <v>191</v>
      </c>
      <c r="L17" s="18">
        <v>2610131293142</v>
      </c>
      <c r="M17" s="11" t="s">
        <v>45</v>
      </c>
      <c r="N17" s="11" t="s">
        <v>46</v>
      </c>
      <c r="O17" s="93" t="s">
        <v>47</v>
      </c>
      <c r="P17" s="90" t="s">
        <v>419</v>
      </c>
      <c r="Q17" s="71" t="s">
        <v>231</v>
      </c>
      <c r="R17" s="11"/>
      <c r="S17" s="86" t="s">
        <v>271</v>
      </c>
    </row>
    <row r="18" spans="1:19" ht="19.350000000000001" customHeight="1">
      <c r="A18" s="57">
        <v>16</v>
      </c>
      <c r="B18" s="8" t="s">
        <v>171</v>
      </c>
      <c r="C18" s="54" t="s">
        <v>203</v>
      </c>
      <c r="D18" s="25">
        <v>1390801140705</v>
      </c>
      <c r="E18" s="25">
        <f t="shared" ca="1" si="0"/>
        <v>86</v>
      </c>
      <c r="F18" s="26">
        <f t="shared" si="1"/>
        <v>14458</v>
      </c>
      <c r="G18" s="19" t="s">
        <v>131</v>
      </c>
      <c r="H18" s="29">
        <v>576</v>
      </c>
      <c r="I18" s="29" t="s">
        <v>132</v>
      </c>
      <c r="J18" s="11" t="s">
        <v>130</v>
      </c>
      <c r="K18" s="6" t="s">
        <v>193</v>
      </c>
      <c r="L18" s="18">
        <v>2670130140708</v>
      </c>
      <c r="M18" s="11" t="s">
        <v>133</v>
      </c>
      <c r="N18" s="11" t="s">
        <v>134</v>
      </c>
      <c r="O18" s="11" t="s">
        <v>147</v>
      </c>
      <c r="P18" s="90" t="s">
        <v>419</v>
      </c>
      <c r="Q18" s="72" t="s">
        <v>414</v>
      </c>
      <c r="R18" s="11"/>
      <c r="S18" s="86" t="s">
        <v>267</v>
      </c>
    </row>
    <row r="19" spans="1:19" ht="19.350000000000001" customHeight="1">
      <c r="A19" s="57">
        <v>17</v>
      </c>
      <c r="B19" s="8" t="s">
        <v>170</v>
      </c>
      <c r="C19" s="54" t="s">
        <v>205</v>
      </c>
      <c r="D19" s="25">
        <v>2490218400508</v>
      </c>
      <c r="E19" s="25">
        <f t="shared" ca="1" si="0"/>
        <v>77</v>
      </c>
      <c r="F19" s="26">
        <f t="shared" si="1"/>
        <v>17947</v>
      </c>
      <c r="G19" s="87" t="s">
        <v>95</v>
      </c>
      <c r="H19" s="96">
        <v>328</v>
      </c>
      <c r="I19" s="96" t="s">
        <v>123</v>
      </c>
      <c r="J19" s="88" t="s">
        <v>112</v>
      </c>
      <c r="K19" s="6" t="s">
        <v>194</v>
      </c>
      <c r="L19" s="97">
        <v>2670710434569</v>
      </c>
      <c r="M19" s="98" t="s">
        <v>100</v>
      </c>
      <c r="N19" s="105" t="s">
        <v>99</v>
      </c>
      <c r="O19" s="22">
        <v>762685088</v>
      </c>
      <c r="P19" s="90" t="s">
        <v>419</v>
      </c>
      <c r="Q19" s="71" t="s">
        <v>304</v>
      </c>
      <c r="R19" s="11"/>
      <c r="S19" s="86" t="s">
        <v>269</v>
      </c>
    </row>
    <row r="20" spans="1:19" ht="24" customHeight="1">
      <c r="A20" s="57">
        <v>18</v>
      </c>
      <c r="B20" s="49" t="s">
        <v>169</v>
      </c>
      <c r="C20" s="54" t="s">
        <v>204</v>
      </c>
      <c r="D20" s="28">
        <v>1380309293141</v>
      </c>
      <c r="E20" s="25">
        <f t="shared" ca="1" si="0"/>
        <v>88</v>
      </c>
      <c r="F20" s="26">
        <f t="shared" si="1"/>
        <v>13948</v>
      </c>
      <c r="G20" s="19" t="s">
        <v>49</v>
      </c>
      <c r="H20" s="29">
        <v>146</v>
      </c>
      <c r="I20" s="29" t="s">
        <v>122</v>
      </c>
      <c r="J20" s="11" t="s">
        <v>114</v>
      </c>
      <c r="K20" s="6" t="s">
        <v>195</v>
      </c>
      <c r="L20" s="18">
        <v>1670522293117</v>
      </c>
      <c r="M20" s="11" t="s">
        <v>50</v>
      </c>
      <c r="N20" s="11" t="s">
        <v>51</v>
      </c>
      <c r="O20" s="92" t="s">
        <v>52</v>
      </c>
      <c r="P20" s="90" t="s">
        <v>419</v>
      </c>
      <c r="Q20" s="71" t="s">
        <v>354</v>
      </c>
      <c r="R20" s="11"/>
      <c r="S20" s="86" t="s">
        <v>329</v>
      </c>
    </row>
    <row r="21" spans="1:19" ht="21.6" customHeight="1">
      <c r="A21" s="57">
        <v>19</v>
      </c>
      <c r="B21" s="8" t="s">
        <v>422</v>
      </c>
      <c r="C21" s="54" t="s">
        <v>206</v>
      </c>
      <c r="D21" s="27">
        <v>1550226400657</v>
      </c>
      <c r="E21" s="25">
        <f t="shared" ca="1" si="0"/>
        <v>71</v>
      </c>
      <c r="F21" s="26">
        <f t="shared" si="1"/>
        <v>20146</v>
      </c>
      <c r="G21" s="66" t="s">
        <v>423</v>
      </c>
      <c r="H21" s="23">
        <v>525</v>
      </c>
      <c r="I21" s="67" t="s">
        <v>424</v>
      </c>
      <c r="J21" s="66" t="s">
        <v>425</v>
      </c>
      <c r="K21" s="6" t="s">
        <v>426</v>
      </c>
      <c r="L21" s="18">
        <v>2810501410077</v>
      </c>
      <c r="M21" s="11" t="s">
        <v>427</v>
      </c>
      <c r="N21" s="11" t="s">
        <v>428</v>
      </c>
      <c r="O21" s="22">
        <v>771584645</v>
      </c>
      <c r="P21" s="46" t="s">
        <v>420</v>
      </c>
      <c r="Q21" s="70" t="s">
        <v>303</v>
      </c>
      <c r="R21" s="11"/>
      <c r="S21" s="91" t="s">
        <v>266</v>
      </c>
    </row>
    <row r="22" spans="1:19" ht="19.350000000000001" customHeight="1">
      <c r="A22" s="57">
        <v>20</v>
      </c>
      <c r="B22" s="8" t="s">
        <v>168</v>
      </c>
      <c r="C22" s="54" t="s">
        <v>203</v>
      </c>
      <c r="D22" s="28">
        <v>2380805400667</v>
      </c>
      <c r="E22" s="25">
        <f t="shared" ca="1" si="0"/>
        <v>87</v>
      </c>
      <c r="F22" s="26">
        <f t="shared" si="1"/>
        <v>14097</v>
      </c>
      <c r="G22" s="19" t="s">
        <v>55</v>
      </c>
      <c r="H22" s="29">
        <v>162</v>
      </c>
      <c r="I22" s="29" t="s">
        <v>124</v>
      </c>
      <c r="J22" s="11" t="s">
        <v>110</v>
      </c>
      <c r="K22" s="6" t="s">
        <v>196</v>
      </c>
      <c r="L22" s="18">
        <v>2671030434573</v>
      </c>
      <c r="M22" s="11" t="s">
        <v>56</v>
      </c>
      <c r="N22" s="11" t="s">
        <v>57</v>
      </c>
      <c r="O22" s="92" t="s">
        <v>58</v>
      </c>
      <c r="P22" s="90" t="s">
        <v>419</v>
      </c>
      <c r="Q22" s="70" t="s">
        <v>303</v>
      </c>
      <c r="R22" s="11"/>
      <c r="S22" s="86" t="s">
        <v>270</v>
      </c>
    </row>
    <row r="23" spans="1:19" ht="19.350000000000001" customHeight="1">
      <c r="A23" s="57">
        <v>21</v>
      </c>
      <c r="B23" s="8" t="s">
        <v>167</v>
      </c>
      <c r="C23" s="54" t="s">
        <v>206</v>
      </c>
      <c r="D23" s="28">
        <v>2380616521597</v>
      </c>
      <c r="E23" s="25">
        <f t="shared" ca="1" si="0"/>
        <v>88</v>
      </c>
      <c r="F23" s="26">
        <f t="shared" si="1"/>
        <v>14047</v>
      </c>
      <c r="G23" s="19" t="s">
        <v>60</v>
      </c>
      <c r="H23" s="29">
        <v>170</v>
      </c>
      <c r="I23" s="29" t="s">
        <v>125</v>
      </c>
      <c r="J23" s="11" t="s">
        <v>115</v>
      </c>
      <c r="K23" s="6" t="s">
        <v>197</v>
      </c>
      <c r="L23" s="18">
        <v>2601011521596</v>
      </c>
      <c r="M23" s="11" t="s">
        <v>61</v>
      </c>
      <c r="N23" s="11" t="s">
        <v>62</v>
      </c>
      <c r="O23" s="92" t="s">
        <v>63</v>
      </c>
      <c r="P23" s="90" t="s">
        <v>419</v>
      </c>
      <c r="Q23" s="72" t="s">
        <v>228</v>
      </c>
      <c r="R23" s="11"/>
      <c r="S23" s="86" t="s">
        <v>265</v>
      </c>
    </row>
    <row r="24" spans="1:19" ht="19.350000000000001" customHeight="1">
      <c r="A24" s="57">
        <v>22</v>
      </c>
      <c r="B24" s="8" t="s">
        <v>166</v>
      </c>
      <c r="C24" s="54" t="s">
        <v>203</v>
      </c>
      <c r="D24" s="28">
        <v>1570807400454</v>
      </c>
      <c r="E24" s="25">
        <f t="shared" ca="1" si="0"/>
        <v>68</v>
      </c>
      <c r="F24" s="26">
        <f t="shared" si="1"/>
        <v>21039</v>
      </c>
      <c r="G24" s="19" t="s">
        <v>65</v>
      </c>
      <c r="H24" s="29">
        <v>178</v>
      </c>
      <c r="I24" s="29" t="s">
        <v>125</v>
      </c>
      <c r="J24" s="11" t="s">
        <v>111</v>
      </c>
      <c r="K24" s="6" t="s">
        <v>198</v>
      </c>
      <c r="L24" s="18">
        <v>1800415430023</v>
      </c>
      <c r="M24" s="11" t="s">
        <v>67</v>
      </c>
      <c r="N24" s="11" t="s">
        <v>66</v>
      </c>
      <c r="O24" s="92" t="s">
        <v>68</v>
      </c>
      <c r="P24" s="90" t="s">
        <v>419</v>
      </c>
      <c r="Q24" s="72" t="s">
        <v>229</v>
      </c>
      <c r="R24" s="11"/>
      <c r="S24" s="86" t="s">
        <v>266</v>
      </c>
    </row>
    <row r="25" spans="1:19" ht="19.350000000000001" customHeight="1">
      <c r="A25" s="57">
        <v>23</v>
      </c>
      <c r="B25" s="8" t="s">
        <v>165</v>
      </c>
      <c r="C25" s="54" t="s">
        <v>203</v>
      </c>
      <c r="D25" s="28">
        <v>1361111514166</v>
      </c>
      <c r="E25" s="25">
        <f t="shared" ca="1" si="0"/>
        <v>89</v>
      </c>
      <c r="F25" s="26">
        <f t="shared" si="1"/>
        <v>13465</v>
      </c>
      <c r="G25" s="10" t="s">
        <v>70</v>
      </c>
      <c r="H25" s="29">
        <v>186</v>
      </c>
      <c r="I25" s="29" t="s">
        <v>126</v>
      </c>
      <c r="J25" s="11" t="s">
        <v>116</v>
      </c>
      <c r="K25" s="6" t="s">
        <v>199</v>
      </c>
      <c r="L25" s="18">
        <v>1450922400241</v>
      </c>
      <c r="M25" s="11" t="s">
        <v>71</v>
      </c>
      <c r="N25" s="11" t="s">
        <v>72</v>
      </c>
      <c r="O25" s="11" t="s">
        <v>73</v>
      </c>
      <c r="P25" s="90" t="s">
        <v>419</v>
      </c>
      <c r="Q25" s="72" t="s">
        <v>230</v>
      </c>
      <c r="R25" s="11"/>
      <c r="S25" s="100" t="s">
        <v>339</v>
      </c>
    </row>
    <row r="26" spans="1:19" ht="19.350000000000001" customHeight="1">
      <c r="A26" s="57">
        <v>24</v>
      </c>
      <c r="B26" s="8" t="s">
        <v>332</v>
      </c>
      <c r="C26" s="24" t="s">
        <v>206</v>
      </c>
      <c r="D26" s="27">
        <v>2330718400359</v>
      </c>
      <c r="E26" s="25">
        <f t="shared" ca="1" si="0"/>
        <v>93</v>
      </c>
      <c r="F26" s="26">
        <f t="shared" si="1"/>
        <v>12253</v>
      </c>
      <c r="G26" s="11" t="s">
        <v>333</v>
      </c>
      <c r="H26" s="23">
        <v>79</v>
      </c>
      <c r="I26" s="23" t="s">
        <v>334</v>
      </c>
      <c r="J26" s="11" t="s">
        <v>335</v>
      </c>
      <c r="K26" s="6" t="s">
        <v>336</v>
      </c>
      <c r="L26" s="18">
        <v>2610225400334</v>
      </c>
      <c r="M26" s="11" t="s">
        <v>337</v>
      </c>
      <c r="N26" s="11" t="s">
        <v>338</v>
      </c>
      <c r="O26" s="22">
        <v>723326619</v>
      </c>
      <c r="P26" s="90" t="s">
        <v>419</v>
      </c>
      <c r="Q26" s="72" t="s">
        <v>366</v>
      </c>
      <c r="R26" s="11"/>
      <c r="S26" s="86" t="s">
        <v>269</v>
      </c>
    </row>
    <row r="27" spans="1:19" ht="24" customHeight="1">
      <c r="A27" s="57">
        <v>25</v>
      </c>
      <c r="B27" s="8" t="s">
        <v>164</v>
      </c>
      <c r="C27" s="54" t="s">
        <v>206</v>
      </c>
      <c r="D27" s="28">
        <v>2470803400790</v>
      </c>
      <c r="E27" s="25">
        <f t="shared" ca="1" si="0"/>
        <v>78</v>
      </c>
      <c r="F27" s="26">
        <f t="shared" si="1"/>
        <v>17382</v>
      </c>
      <c r="G27" s="19" t="s">
        <v>75</v>
      </c>
      <c r="H27" s="29">
        <v>194</v>
      </c>
      <c r="I27" s="29" t="s">
        <v>126</v>
      </c>
      <c r="J27" s="11" t="s">
        <v>117</v>
      </c>
      <c r="K27" s="6" t="s">
        <v>200</v>
      </c>
      <c r="L27" s="18">
        <v>1690312421537</v>
      </c>
      <c r="M27" s="11" t="s">
        <v>76</v>
      </c>
      <c r="N27" s="11" t="s">
        <v>77</v>
      </c>
      <c r="O27" s="11" t="s">
        <v>78</v>
      </c>
      <c r="P27" s="90" t="s">
        <v>419</v>
      </c>
      <c r="Q27" s="72" t="s">
        <v>236</v>
      </c>
      <c r="R27" s="11"/>
      <c r="S27" s="86" t="s">
        <v>266</v>
      </c>
    </row>
    <row r="28" spans="1:19" ht="19.350000000000001" customHeight="1">
      <c r="A28" s="57">
        <v>26</v>
      </c>
      <c r="B28" s="8" t="s">
        <v>439</v>
      </c>
      <c r="C28" s="54" t="s">
        <v>206</v>
      </c>
      <c r="D28" s="27">
        <v>2310504400703</v>
      </c>
      <c r="E28" s="25">
        <f t="shared" ca="1" si="0"/>
        <v>95</v>
      </c>
      <c r="F28" s="26">
        <f t="shared" si="1"/>
        <v>11447</v>
      </c>
      <c r="G28" s="66" t="s">
        <v>440</v>
      </c>
      <c r="H28" s="23">
        <v>607</v>
      </c>
      <c r="I28" s="67" t="s">
        <v>441</v>
      </c>
      <c r="J28" s="66" t="s">
        <v>442</v>
      </c>
      <c r="K28" s="6" t="s">
        <v>443</v>
      </c>
      <c r="L28" s="18">
        <v>1571210400441</v>
      </c>
      <c r="M28" s="11" t="s">
        <v>444</v>
      </c>
      <c r="N28" s="11" t="s">
        <v>445</v>
      </c>
      <c r="O28" s="22">
        <v>722444947</v>
      </c>
      <c r="P28" s="46" t="s">
        <v>420</v>
      </c>
      <c r="Q28" s="70" t="s">
        <v>303</v>
      </c>
      <c r="R28" s="11"/>
      <c r="S28" s="91" t="s">
        <v>339</v>
      </c>
    </row>
    <row r="29" spans="1:19" ht="19.350000000000001" customHeight="1">
      <c r="A29" s="57">
        <v>27</v>
      </c>
      <c r="B29" s="8" t="s">
        <v>212</v>
      </c>
      <c r="C29" s="54" t="s">
        <v>203</v>
      </c>
      <c r="D29" s="25">
        <v>2550908400431</v>
      </c>
      <c r="E29" s="25">
        <f t="shared" ca="1" si="0"/>
        <v>70</v>
      </c>
      <c r="F29" s="26">
        <f t="shared" si="1"/>
        <v>20340</v>
      </c>
      <c r="G29" s="19" t="s">
        <v>213</v>
      </c>
      <c r="H29" s="29">
        <v>546</v>
      </c>
      <c r="I29" s="63" t="s">
        <v>211</v>
      </c>
      <c r="J29" s="11" t="s">
        <v>226</v>
      </c>
      <c r="K29" s="6" t="s">
        <v>215</v>
      </c>
      <c r="L29" s="18">
        <v>1790331451517</v>
      </c>
      <c r="M29" s="11" t="s">
        <v>216</v>
      </c>
      <c r="N29" s="11" t="s">
        <v>214</v>
      </c>
      <c r="O29" s="11" t="s">
        <v>217</v>
      </c>
      <c r="P29" s="90" t="s">
        <v>419</v>
      </c>
      <c r="Q29" s="72" t="s">
        <v>317</v>
      </c>
      <c r="R29" s="11"/>
      <c r="S29" s="86" t="s">
        <v>266</v>
      </c>
    </row>
    <row r="30" spans="1:19" ht="19.350000000000001" customHeight="1">
      <c r="A30" s="57">
        <v>28</v>
      </c>
      <c r="B30" s="8" t="s">
        <v>163</v>
      </c>
      <c r="C30" s="54" t="s">
        <v>203</v>
      </c>
      <c r="D30" s="28">
        <v>2560827400432</v>
      </c>
      <c r="E30" s="25">
        <f t="shared" ca="1" si="0"/>
        <v>69</v>
      </c>
      <c r="F30" s="26">
        <f t="shared" si="1"/>
        <v>20694</v>
      </c>
      <c r="G30" s="19" t="s">
        <v>127</v>
      </c>
      <c r="H30" s="29">
        <v>514</v>
      </c>
      <c r="I30" s="61" t="s">
        <v>139</v>
      </c>
      <c r="J30" s="11" t="s">
        <v>128</v>
      </c>
      <c r="K30" s="6" t="s">
        <v>201</v>
      </c>
      <c r="L30" s="18">
        <v>2770202464518</v>
      </c>
      <c r="M30" s="11" t="s">
        <v>129</v>
      </c>
      <c r="N30" s="11" t="s">
        <v>237</v>
      </c>
      <c r="O30" s="22">
        <v>765728329</v>
      </c>
      <c r="P30" s="90" t="s">
        <v>419</v>
      </c>
      <c r="Q30" s="72" t="s">
        <v>232</v>
      </c>
      <c r="R30" s="11"/>
      <c r="S30" s="100" t="s">
        <v>266</v>
      </c>
    </row>
    <row r="31" spans="1:19" ht="19.350000000000001" customHeight="1">
      <c r="A31" s="57">
        <v>29</v>
      </c>
      <c r="B31" s="8" t="s">
        <v>345</v>
      </c>
      <c r="C31" s="54" t="s">
        <v>206</v>
      </c>
      <c r="D31" s="27">
        <v>1470820400310</v>
      </c>
      <c r="E31" s="25">
        <f t="shared" ca="1" si="0"/>
        <v>78</v>
      </c>
      <c r="F31" s="26">
        <f t="shared" si="1"/>
        <v>17399</v>
      </c>
      <c r="G31" s="11" t="s">
        <v>346</v>
      </c>
      <c r="H31" s="23">
        <v>111</v>
      </c>
      <c r="I31" s="23" t="s">
        <v>347</v>
      </c>
      <c r="J31" s="11" t="s">
        <v>348</v>
      </c>
      <c r="K31" s="6" t="s">
        <v>349</v>
      </c>
      <c r="L31" s="18">
        <v>2470207400140</v>
      </c>
      <c r="M31" s="11" t="s">
        <v>350</v>
      </c>
      <c r="N31" s="11" t="s">
        <v>351</v>
      </c>
      <c r="O31" s="22" t="s">
        <v>352</v>
      </c>
      <c r="P31" s="90" t="s">
        <v>419</v>
      </c>
      <c r="Q31" s="72" t="s">
        <v>383</v>
      </c>
      <c r="R31" s="11"/>
      <c r="S31" s="100" t="s">
        <v>266</v>
      </c>
    </row>
    <row r="32" spans="1:19" ht="19.350000000000001" customHeight="1">
      <c r="A32" s="57">
        <v>30</v>
      </c>
      <c r="B32" s="8" t="s">
        <v>251</v>
      </c>
      <c r="C32" s="54" t="s">
        <v>203</v>
      </c>
      <c r="D32" s="27">
        <v>2280805131230</v>
      </c>
      <c r="E32" s="25">
        <f t="shared" ca="1" si="0"/>
        <v>97</v>
      </c>
      <c r="F32" s="26">
        <f t="shared" si="1"/>
        <v>10445</v>
      </c>
      <c r="G32" s="66" t="s">
        <v>252</v>
      </c>
      <c r="H32" s="23">
        <v>781</v>
      </c>
      <c r="I32" s="67" t="s">
        <v>253</v>
      </c>
      <c r="J32" s="66" t="s">
        <v>254</v>
      </c>
      <c r="K32" s="6" t="s">
        <v>255</v>
      </c>
      <c r="L32" s="18">
        <v>2600120400160</v>
      </c>
      <c r="M32" s="11" t="s">
        <v>256</v>
      </c>
      <c r="N32" s="11" t="s">
        <v>257</v>
      </c>
      <c r="O32" s="22">
        <v>769652128</v>
      </c>
      <c r="P32" s="46" t="s">
        <v>420</v>
      </c>
      <c r="Q32" s="70" t="s">
        <v>303</v>
      </c>
      <c r="R32" s="11"/>
      <c r="S32" s="91" t="s">
        <v>364</v>
      </c>
    </row>
    <row r="33" spans="1:19" ht="19.350000000000001" customHeight="1">
      <c r="A33" s="48"/>
      <c r="B33" s="49"/>
      <c r="C33" s="49"/>
      <c r="D33" s="47"/>
      <c r="H33" s="38"/>
      <c r="I33" s="38"/>
      <c r="L33" s="14"/>
      <c r="P33" s="38"/>
    </row>
    <row r="34" spans="1:19" ht="19.350000000000001" customHeight="1">
      <c r="B34" s="31" t="s">
        <v>101</v>
      </c>
      <c r="C34" s="31"/>
      <c r="H34" s="38"/>
    </row>
    <row r="35" spans="1:19" ht="19.350000000000001" customHeight="1">
      <c r="A35" s="32" t="s">
        <v>0</v>
      </c>
      <c r="B35" s="34" t="s">
        <v>1</v>
      </c>
      <c r="C35" s="34"/>
      <c r="D35" s="35" t="s">
        <v>2</v>
      </c>
      <c r="E35" s="33" t="s">
        <v>3</v>
      </c>
      <c r="F35" s="36" t="s">
        <v>4</v>
      </c>
      <c r="G35" s="33" t="s">
        <v>5</v>
      </c>
      <c r="H35" s="33" t="s">
        <v>141</v>
      </c>
      <c r="I35" s="33" t="s">
        <v>104</v>
      </c>
      <c r="J35" s="33" t="s">
        <v>142</v>
      </c>
      <c r="K35" s="33" t="s">
        <v>143</v>
      </c>
      <c r="L35" s="37" t="s">
        <v>2</v>
      </c>
      <c r="M35" s="33" t="s">
        <v>5</v>
      </c>
      <c r="N35" s="33" t="s">
        <v>142</v>
      </c>
      <c r="O35" s="33" t="s">
        <v>145</v>
      </c>
      <c r="P35" s="33" t="s">
        <v>102</v>
      </c>
      <c r="Q35" s="33" t="s">
        <v>103</v>
      </c>
    </row>
    <row r="36" spans="1:19" ht="19.350000000000001" customHeight="1">
      <c r="A36" s="32"/>
      <c r="B36" s="34"/>
      <c r="C36" s="34"/>
      <c r="D36" s="35"/>
      <c r="E36" s="33"/>
      <c r="F36" s="36"/>
      <c r="G36" s="33"/>
      <c r="H36" s="33"/>
      <c r="I36" s="33"/>
      <c r="J36" s="33"/>
      <c r="K36" s="33"/>
      <c r="L36" s="37"/>
      <c r="M36" s="33"/>
      <c r="N36" s="33"/>
      <c r="O36" s="33"/>
      <c r="P36" s="33"/>
      <c r="Q36" s="33"/>
    </row>
    <row r="37" spans="1:19" ht="19.350000000000001" customHeight="1">
      <c r="A37" s="24">
        <v>1</v>
      </c>
      <c r="B37" s="8" t="s">
        <v>258</v>
      </c>
      <c r="C37" s="54" t="s">
        <v>203</v>
      </c>
      <c r="D37" s="27">
        <v>2360229400310</v>
      </c>
      <c r="E37" s="25">
        <f ca="1">DATEDIF(DATE(MID(D37,2,2),MID(D37,4,2),MID(D37,6,2)),TODAY(),"y")</f>
        <v>90</v>
      </c>
      <c r="F37" s="26">
        <f>DATE(IF(LEFT(D37,1)*1&lt;=2,MID(D37,2,2),MID(D37,2,2)+100),MID(D37,4,2),MID(D37,6,2))</f>
        <v>13209</v>
      </c>
      <c r="G37" s="11" t="s">
        <v>259</v>
      </c>
      <c r="H37" s="23">
        <v>768</v>
      </c>
      <c r="I37" s="67" t="s">
        <v>260</v>
      </c>
      <c r="J37" s="11" t="s">
        <v>274</v>
      </c>
      <c r="K37" s="6" t="s">
        <v>261</v>
      </c>
      <c r="L37" s="18">
        <v>1670723441538</v>
      </c>
      <c r="M37" s="11" t="s">
        <v>262</v>
      </c>
      <c r="N37" s="11" t="s">
        <v>263</v>
      </c>
      <c r="O37" s="22">
        <v>721599599</v>
      </c>
      <c r="P37" s="23" t="s">
        <v>315</v>
      </c>
      <c r="Q37" s="74" t="s">
        <v>316</v>
      </c>
      <c r="S37" s="68"/>
    </row>
    <row r="38" spans="1:19" ht="19.350000000000001" customHeight="1">
      <c r="A38" s="24">
        <v>2</v>
      </c>
      <c r="B38" s="8" t="s">
        <v>297</v>
      </c>
      <c r="C38" s="54" t="s">
        <v>206</v>
      </c>
      <c r="D38" s="27">
        <v>2390817400068</v>
      </c>
      <c r="E38" s="25">
        <f ca="1">DATEDIF(DATE(MID(D38,2,2),MID(D38,4,2),MID(D38,6,2)),TODAY(),"y")</f>
        <v>86</v>
      </c>
      <c r="F38" s="26">
        <f>DATE(IF(LEFT(D38,1)*1&lt;=2,MID(D38,2,2),MID(D38,2,2)+100),MID(D38,4,2),MID(D38,6,2))</f>
        <v>14474</v>
      </c>
      <c r="G38" s="66" t="s">
        <v>298</v>
      </c>
      <c r="H38" s="23">
        <v>860</v>
      </c>
      <c r="I38" s="67" t="s">
        <v>299</v>
      </c>
      <c r="J38" s="66" t="s">
        <v>300</v>
      </c>
      <c r="K38" s="6" t="s">
        <v>301</v>
      </c>
      <c r="L38" s="18">
        <v>2630419297295</v>
      </c>
      <c r="M38" s="11" t="s">
        <v>256</v>
      </c>
      <c r="N38" s="11" t="s">
        <v>300</v>
      </c>
      <c r="O38" s="22" t="s">
        <v>302</v>
      </c>
      <c r="P38" s="23" t="s">
        <v>321</v>
      </c>
      <c r="Q38" s="11" t="s">
        <v>319</v>
      </c>
      <c r="S38" s="68"/>
    </row>
    <row r="39" spans="1:19" ht="19.350000000000001" customHeight="1">
      <c r="A39" s="60">
        <v>3</v>
      </c>
      <c r="B39" s="69" t="s">
        <v>289</v>
      </c>
      <c r="C39" s="54" t="s">
        <v>206</v>
      </c>
      <c r="D39" s="27">
        <v>1590515400943</v>
      </c>
      <c r="E39" s="25">
        <f t="shared" ref="E39" ca="1" si="2">DATEDIF(DATE(MID(D39,2,2),MID(D39,4,2),MID(D39,6,2)),TODAY(),"y")</f>
        <v>67</v>
      </c>
      <c r="F39" s="26">
        <f t="shared" ref="F39" si="3">DATE(IF(LEFT(D39,1)*1&lt;=2,MID(D39,2,2),MID(D39,2,2)+100),MID(D39,4,2),MID(D39,6,2))</f>
        <v>21685</v>
      </c>
      <c r="G39" s="66" t="s">
        <v>290</v>
      </c>
      <c r="H39" s="23">
        <v>873</v>
      </c>
      <c r="I39" s="67" t="s">
        <v>291</v>
      </c>
      <c r="J39" s="66" t="s">
        <v>292</v>
      </c>
      <c r="K39" s="6" t="s">
        <v>293</v>
      </c>
      <c r="L39" s="18">
        <v>1920210420060</v>
      </c>
      <c r="M39" s="11" t="s">
        <v>294</v>
      </c>
      <c r="N39" s="11" t="s">
        <v>295</v>
      </c>
      <c r="O39" s="22" t="s">
        <v>296</v>
      </c>
      <c r="P39" s="23" t="s">
        <v>318</v>
      </c>
      <c r="Q39" s="11" t="s">
        <v>319</v>
      </c>
    </row>
    <row r="40" spans="1:19" ht="19.350000000000001" customHeight="1">
      <c r="A40" s="77">
        <v>4</v>
      </c>
      <c r="B40" s="78" t="s">
        <v>172</v>
      </c>
      <c r="C40" s="79" t="s">
        <v>206</v>
      </c>
      <c r="D40" s="80">
        <v>1401107400333</v>
      </c>
      <c r="E40" s="80">
        <f ca="1">DATEDIF(DATE(MID(D40,2,2),MID(D40,4,2),MID(D40,6,2)),TODAY(),"y")</f>
        <v>85</v>
      </c>
      <c r="F40" s="81">
        <f>DATE(IF(LEFT(D40,1)*1&lt;=2,MID(D40,2,2),MID(D40,2,2)+100),MID(D40,4,2),MID(D40,6,2))</f>
        <v>14922</v>
      </c>
      <c r="G40" s="82" t="s">
        <v>135</v>
      </c>
      <c r="H40" s="62">
        <v>554</v>
      </c>
      <c r="I40" s="62" t="s">
        <v>136</v>
      </c>
      <c r="J40" s="52" t="s">
        <v>140</v>
      </c>
      <c r="K40" s="83" t="s">
        <v>192</v>
      </c>
      <c r="L40" s="51">
        <v>1860131460041</v>
      </c>
      <c r="M40" s="52" t="s">
        <v>138</v>
      </c>
      <c r="N40" s="52" t="s">
        <v>137</v>
      </c>
      <c r="O40" s="84">
        <v>766872174</v>
      </c>
      <c r="P40" s="23" t="s">
        <v>322</v>
      </c>
      <c r="Q40" s="11" t="s">
        <v>319</v>
      </c>
    </row>
    <row r="41" spans="1:19" ht="19.350000000000001" customHeight="1">
      <c r="A41" s="24">
        <v>5</v>
      </c>
      <c r="B41" s="8" t="s">
        <v>218</v>
      </c>
      <c r="C41" s="54" t="s">
        <v>206</v>
      </c>
      <c r="D41" s="28">
        <v>2410806400415</v>
      </c>
      <c r="E41" s="25">
        <f t="shared" ref="E41:E42" ca="1" si="4">DATEDIF(DATE(MID(D41,2,2),MID(D41,4,2),MID(D41,6,2)),TODAY(),"y")</f>
        <v>84</v>
      </c>
      <c r="F41" s="26">
        <f t="shared" ref="F41:F42" si="5">DATE(IF(LEFT(D41,1)*1&lt;=2,MID(D41,2,2),MID(D41,2,2)+100),MID(D41,4,2),MID(D41,6,2))</f>
        <v>15194</v>
      </c>
      <c r="G41" s="58" t="s">
        <v>219</v>
      </c>
      <c r="H41" s="29">
        <v>644</v>
      </c>
      <c r="I41" s="29" t="s">
        <v>220</v>
      </c>
      <c r="J41" s="53" t="s">
        <v>221</v>
      </c>
      <c r="K41" s="6" t="s">
        <v>222</v>
      </c>
      <c r="L41" s="18">
        <v>2671102451516</v>
      </c>
      <c r="M41" s="11" t="s">
        <v>223</v>
      </c>
      <c r="N41" s="11" t="s">
        <v>224</v>
      </c>
      <c r="O41" s="59">
        <v>393400975169</v>
      </c>
      <c r="P41" s="23" t="s">
        <v>330</v>
      </c>
      <c r="Q41" s="11" t="s">
        <v>319</v>
      </c>
    </row>
    <row r="42" spans="1:19" ht="19.350000000000001" customHeight="1">
      <c r="A42" s="24">
        <v>6</v>
      </c>
      <c r="B42" s="8" t="s">
        <v>275</v>
      </c>
      <c r="C42" s="54" t="s">
        <v>276</v>
      </c>
      <c r="D42" s="27">
        <v>2330522400676</v>
      </c>
      <c r="E42" s="25">
        <f t="shared" ca="1" si="4"/>
        <v>93</v>
      </c>
      <c r="F42" s="26">
        <f t="shared" si="5"/>
        <v>12196</v>
      </c>
      <c r="G42" s="11" t="s">
        <v>277</v>
      </c>
      <c r="H42" s="23">
        <v>798</v>
      </c>
      <c r="I42" s="67" t="s">
        <v>278</v>
      </c>
      <c r="J42" s="11" t="s">
        <v>279</v>
      </c>
      <c r="K42" s="6" t="s">
        <v>280</v>
      </c>
      <c r="L42" s="18">
        <v>2710902424515</v>
      </c>
      <c r="M42" s="11" t="s">
        <v>281</v>
      </c>
      <c r="N42" s="11" t="s">
        <v>282</v>
      </c>
      <c r="O42" s="22">
        <v>728971279</v>
      </c>
      <c r="P42" s="23" t="s">
        <v>355</v>
      </c>
      <c r="Q42" s="11" t="s">
        <v>356</v>
      </c>
    </row>
    <row r="43" spans="1:19" ht="19.350000000000001" customHeight="1">
      <c r="A43" s="60">
        <v>7</v>
      </c>
      <c r="B43" s="8" t="s">
        <v>238</v>
      </c>
      <c r="C43" s="54" t="s">
        <v>202</v>
      </c>
      <c r="D43" s="28">
        <v>1541117125178</v>
      </c>
      <c r="E43" s="25">
        <f ca="1">DATEDIF(DATE(MID(D43,2,2),MID(D43,4,2),MID(D43,6,2)),TODAY(),"y")</f>
        <v>71</v>
      </c>
      <c r="F43" s="26">
        <f>DATE(IF(LEFT(D43,1)*1&lt;=2,MID(D43,2,2),MID(D43,2,2)+100),MID(D43,4,2),MID(D43,6,2))</f>
        <v>20045</v>
      </c>
      <c r="G43" s="19" t="s">
        <v>239</v>
      </c>
      <c r="H43" s="29">
        <v>683</v>
      </c>
      <c r="I43" s="29" t="s">
        <v>240</v>
      </c>
      <c r="J43" s="53" t="s">
        <v>241</v>
      </c>
      <c r="K43" s="6" t="s">
        <v>242</v>
      </c>
      <c r="L43" s="18">
        <v>2560404400914</v>
      </c>
      <c r="M43" s="11" t="s">
        <v>243</v>
      </c>
      <c r="N43" s="53" t="s">
        <v>241</v>
      </c>
      <c r="O43" s="22">
        <v>721537696</v>
      </c>
      <c r="P43" s="23" t="s">
        <v>375</v>
      </c>
      <c r="Q43" s="11" t="s">
        <v>365</v>
      </c>
    </row>
    <row r="44" spans="1:19" ht="19.350000000000001" customHeight="1">
      <c r="A44" s="24">
        <v>8</v>
      </c>
      <c r="B44" s="8" t="s">
        <v>244</v>
      </c>
      <c r="C44" s="54" t="s">
        <v>206</v>
      </c>
      <c r="D44" s="28">
        <v>2361110400502</v>
      </c>
      <c r="E44" s="25">
        <f ca="1">DATEDIF(DATE(MID(D44,2,2),MID(D44,4,2),MID(D44,6,2)),TODAY(),"y")</f>
        <v>89</v>
      </c>
      <c r="F44" s="26">
        <f>DATE(IF(LEFT(D44,1)*1&lt;=2,MID(D44,2,2),MID(D44,2,2)+100),MID(D44,4,2),MID(D44,6,2))</f>
        <v>13464</v>
      </c>
      <c r="G44" s="19" t="s">
        <v>245</v>
      </c>
      <c r="H44" s="29">
        <v>744</v>
      </c>
      <c r="I44" s="61" t="s">
        <v>246</v>
      </c>
      <c r="J44" s="11" t="s">
        <v>247</v>
      </c>
      <c r="K44" s="6" t="s">
        <v>248</v>
      </c>
      <c r="L44" s="18">
        <v>1671129400102</v>
      </c>
      <c r="M44" s="11" t="s">
        <v>249</v>
      </c>
      <c r="N44" s="11" t="s">
        <v>247</v>
      </c>
      <c r="O44" s="22" t="s">
        <v>250</v>
      </c>
      <c r="P44" s="102" t="s">
        <v>396</v>
      </c>
      <c r="Q44" s="11" t="s">
        <v>319</v>
      </c>
    </row>
    <row r="45" spans="1:19" ht="19.350000000000001" customHeight="1">
      <c r="A45" s="24">
        <v>9</v>
      </c>
      <c r="B45" s="8" t="s">
        <v>376</v>
      </c>
      <c r="C45" s="54" t="s">
        <v>207</v>
      </c>
      <c r="D45" s="27">
        <v>2480326154212</v>
      </c>
      <c r="E45" s="25">
        <f t="shared" ref="E45" ca="1" si="6">DATEDIF(DATE(MID(D45,2,2),MID(D45,4,2),MID(D45,6,2)),TODAY(),"y")</f>
        <v>78</v>
      </c>
      <c r="F45" s="26">
        <f t="shared" ref="F45" si="7">DATE(IF(LEFT(D45,1)*1&lt;=2,MID(D45,2,2),MID(D45,2,2)+100),MID(D45,4,2),MID(D45,6,2))</f>
        <v>17618</v>
      </c>
      <c r="G45" s="66" t="s">
        <v>377</v>
      </c>
      <c r="H45" s="23">
        <v>268</v>
      </c>
      <c r="I45" s="67" t="s">
        <v>378</v>
      </c>
      <c r="J45" s="66" t="s">
        <v>379</v>
      </c>
      <c r="K45" s="6" t="s">
        <v>380</v>
      </c>
      <c r="L45" s="18">
        <v>1730820154229</v>
      </c>
      <c r="M45" s="11" t="s">
        <v>381</v>
      </c>
      <c r="N45" s="11" t="s">
        <v>382</v>
      </c>
      <c r="O45" s="89">
        <v>762780698</v>
      </c>
      <c r="P45" s="102" t="s">
        <v>397</v>
      </c>
      <c r="Q45" s="11" t="s">
        <v>398</v>
      </c>
    </row>
    <row r="46" spans="1:19" ht="19.350000000000001" customHeight="1">
      <c r="A46" s="24">
        <v>10</v>
      </c>
      <c r="B46" s="8" t="s">
        <v>174</v>
      </c>
      <c r="C46" s="54" t="s">
        <v>207</v>
      </c>
      <c r="D46" s="25">
        <v>1590911400605</v>
      </c>
      <c r="E46" s="25">
        <f t="shared" ref="E46:E51" ca="1" si="8">DATEDIF(DATE(MID(D46,2,2),MID(D46,4,2),MID(D46,6,2)),TODAY(),"y")</f>
        <v>66</v>
      </c>
      <c r="F46" s="26">
        <f t="shared" ref="F46:F51" si="9">DATE(IF(LEFT(D46,1)*1&lt;=2,MID(D46,2,2),MID(D46,2,2)+100),MID(D46,4,2),MID(D46,6,2))</f>
        <v>21804</v>
      </c>
      <c r="G46" s="19" t="s">
        <v>148</v>
      </c>
      <c r="H46" s="29">
        <v>166</v>
      </c>
      <c r="I46" s="29" t="s">
        <v>149</v>
      </c>
      <c r="J46" s="11" t="s">
        <v>150</v>
      </c>
      <c r="K46" s="8" t="s">
        <v>190</v>
      </c>
      <c r="L46" s="18">
        <v>1590911400605</v>
      </c>
      <c r="M46" s="11" t="s">
        <v>148</v>
      </c>
      <c r="N46" s="64" t="s">
        <v>150</v>
      </c>
      <c r="O46" s="30">
        <v>766591095</v>
      </c>
      <c r="P46" s="38" t="s">
        <v>415</v>
      </c>
      <c r="Q46" s="11" t="s">
        <v>398</v>
      </c>
    </row>
    <row r="47" spans="1:19" ht="19.350000000000001" customHeight="1">
      <c r="A47" s="60">
        <v>11</v>
      </c>
      <c r="B47" s="8" t="s">
        <v>179</v>
      </c>
      <c r="C47" s="54" t="s">
        <v>202</v>
      </c>
      <c r="D47" s="28">
        <v>2560908400550</v>
      </c>
      <c r="E47" s="25">
        <f t="shared" ca="1" si="8"/>
        <v>69</v>
      </c>
      <c r="F47" s="26">
        <f t="shared" si="9"/>
        <v>20706</v>
      </c>
      <c r="G47" s="19" t="s">
        <v>83</v>
      </c>
      <c r="H47" s="29">
        <v>282</v>
      </c>
      <c r="I47" s="29" t="s">
        <v>120</v>
      </c>
      <c r="J47" s="11" t="s">
        <v>106</v>
      </c>
      <c r="K47" s="6" t="s">
        <v>185</v>
      </c>
      <c r="L47" s="27">
        <v>2910918420071</v>
      </c>
      <c r="M47" s="11" t="s">
        <v>85</v>
      </c>
      <c r="N47" s="11" t="s">
        <v>84</v>
      </c>
      <c r="O47" s="11" t="s">
        <v>86</v>
      </c>
      <c r="P47" s="103" t="s">
        <v>415</v>
      </c>
      <c r="Q47" s="104" t="s">
        <v>416</v>
      </c>
    </row>
    <row r="48" spans="1:19" ht="19.350000000000001" customHeight="1">
      <c r="A48" s="60">
        <v>12</v>
      </c>
      <c r="B48" s="8" t="s">
        <v>175</v>
      </c>
      <c r="C48" s="54" t="s">
        <v>205</v>
      </c>
      <c r="D48" s="101">
        <v>2431213400039</v>
      </c>
      <c r="E48" s="25">
        <f t="shared" ca="1" si="8"/>
        <v>82</v>
      </c>
      <c r="F48" s="26">
        <f t="shared" si="9"/>
        <v>16053</v>
      </c>
      <c r="G48" s="10" t="s">
        <v>36</v>
      </c>
      <c r="H48" s="29">
        <v>114</v>
      </c>
      <c r="I48" s="29" t="s">
        <v>121</v>
      </c>
      <c r="J48" s="16" t="s">
        <v>109</v>
      </c>
      <c r="K48" s="6" t="s">
        <v>189</v>
      </c>
      <c r="L48" s="18">
        <v>1780425461515</v>
      </c>
      <c r="M48" s="11" t="s">
        <v>38</v>
      </c>
      <c r="N48" s="16" t="s">
        <v>37</v>
      </c>
      <c r="O48" s="93" t="s">
        <v>39</v>
      </c>
      <c r="P48" s="102" t="s">
        <v>417</v>
      </c>
      <c r="Q48" s="104" t="s">
        <v>416</v>
      </c>
    </row>
    <row r="49" spans="1:17" ht="19.350000000000001" customHeight="1">
      <c r="A49" s="24">
        <v>13</v>
      </c>
      <c r="B49" s="8" t="s">
        <v>407</v>
      </c>
      <c r="C49" s="54" t="s">
        <v>206</v>
      </c>
      <c r="D49" s="27">
        <v>1510319400095</v>
      </c>
      <c r="E49" s="25">
        <f t="shared" ca="1" si="8"/>
        <v>75</v>
      </c>
      <c r="F49" s="26">
        <f t="shared" si="9"/>
        <v>18706</v>
      </c>
      <c r="G49" s="66" t="s">
        <v>408</v>
      </c>
      <c r="H49" s="23">
        <v>392</v>
      </c>
      <c r="I49" s="67" t="s">
        <v>409</v>
      </c>
      <c r="J49" s="66" t="s">
        <v>410</v>
      </c>
      <c r="K49" s="6" t="s">
        <v>411</v>
      </c>
      <c r="L49" s="18">
        <v>2770703464519</v>
      </c>
      <c r="M49" s="11" t="s">
        <v>412</v>
      </c>
      <c r="N49" s="11" t="s">
        <v>413</v>
      </c>
      <c r="O49" s="22">
        <v>721338623</v>
      </c>
      <c r="P49" s="102" t="s">
        <v>417</v>
      </c>
      <c r="Q49" s="104" t="s">
        <v>398</v>
      </c>
    </row>
    <row r="50" spans="1:17" ht="19.350000000000001" customHeight="1">
      <c r="A50" s="60">
        <v>14</v>
      </c>
      <c r="B50" s="8" t="s">
        <v>177</v>
      </c>
      <c r="C50" s="54" t="s">
        <v>206</v>
      </c>
      <c r="D50" s="28">
        <v>2380318400478</v>
      </c>
      <c r="E50" s="25">
        <f t="shared" ca="1" si="8"/>
        <v>88</v>
      </c>
      <c r="F50" s="26">
        <f t="shared" si="9"/>
        <v>13957</v>
      </c>
      <c r="G50" s="19" t="s">
        <v>26</v>
      </c>
      <c r="H50" s="29">
        <v>98</v>
      </c>
      <c r="I50" s="29" t="s">
        <v>119</v>
      </c>
      <c r="J50" s="11" t="s">
        <v>107</v>
      </c>
      <c r="K50" s="6" t="s">
        <v>187</v>
      </c>
      <c r="L50" s="18">
        <v>1680312451530</v>
      </c>
      <c r="M50" s="11" t="s">
        <v>28</v>
      </c>
      <c r="N50" s="64" t="s">
        <v>27</v>
      </c>
      <c r="O50" s="11" t="s">
        <v>29</v>
      </c>
      <c r="P50" s="23" t="s">
        <v>418</v>
      </c>
      <c r="Q50" s="11" t="s">
        <v>436</v>
      </c>
    </row>
    <row r="51" spans="1:17" ht="19.350000000000001" customHeight="1">
      <c r="A51" s="60">
        <v>15</v>
      </c>
      <c r="B51" s="8" t="s">
        <v>400</v>
      </c>
      <c r="C51" s="54" t="s">
        <v>202</v>
      </c>
      <c r="D51" s="27">
        <v>1450827280793</v>
      </c>
      <c r="E51" s="25">
        <f t="shared" ca="1" si="8"/>
        <v>80</v>
      </c>
      <c r="F51" s="26">
        <f t="shared" si="9"/>
        <v>16676</v>
      </c>
      <c r="G51" s="66" t="s">
        <v>402</v>
      </c>
      <c r="H51" s="23">
        <v>406</v>
      </c>
      <c r="I51" s="67" t="s">
        <v>403</v>
      </c>
      <c r="J51" s="66" t="s">
        <v>404</v>
      </c>
      <c r="K51" s="6" t="s">
        <v>401</v>
      </c>
      <c r="L51" s="18">
        <v>2681231280790</v>
      </c>
      <c r="M51" s="11" t="s">
        <v>405</v>
      </c>
      <c r="N51" s="16" t="s">
        <v>406</v>
      </c>
      <c r="O51" s="22">
        <v>761506566</v>
      </c>
      <c r="P51" s="23" t="s">
        <v>435</v>
      </c>
      <c r="Q51" s="11" t="s">
        <v>398</v>
      </c>
    </row>
    <row r="52" spans="1:17" ht="19.350000000000001" customHeight="1">
      <c r="A52" s="24">
        <v>16</v>
      </c>
      <c r="B52" s="8" t="s">
        <v>320</v>
      </c>
      <c r="C52" s="54" t="s">
        <v>203</v>
      </c>
      <c r="D52" s="85">
        <v>1540615400575</v>
      </c>
      <c r="E52" s="25">
        <f ca="1">DATEDIF(DATE(MID(D52,2,2),MID(D52,4,2),MID(D52,6,2)),TODAY(),"y")</f>
        <v>72</v>
      </c>
      <c r="F52" s="26">
        <f>DATE(IF(LEFT(D52,1)*1&lt;=2,MID(D52,2,2),MID(D52,2,2)+100),MID(D52,4,2),MID(D52,6,2))</f>
        <v>19890</v>
      </c>
      <c r="G52" s="53" t="s">
        <v>323</v>
      </c>
      <c r="H52" s="23">
        <v>55</v>
      </c>
      <c r="I52" s="67" t="s">
        <v>324</v>
      </c>
      <c r="J52" s="53" t="s">
        <v>325</v>
      </c>
      <c r="K52" s="6" t="s">
        <v>326</v>
      </c>
      <c r="L52" s="18">
        <v>1580712400401</v>
      </c>
      <c r="M52" s="11" t="s">
        <v>327</v>
      </c>
      <c r="N52" s="53" t="s">
        <v>328</v>
      </c>
      <c r="O52" s="22">
        <v>744677719</v>
      </c>
      <c r="P52" s="23" t="s">
        <v>437</v>
      </c>
      <c r="Q52" s="11" t="s">
        <v>438</v>
      </c>
    </row>
    <row r="54" spans="1:17" ht="19.350000000000001" customHeight="1">
      <c r="A54" s="75"/>
    </row>
    <row r="55" spans="1:17" ht="19.350000000000001" customHeight="1">
      <c r="A55" s="76"/>
    </row>
    <row r="58" spans="1:17" ht="19.350000000000001" customHeight="1">
      <c r="A58" s="75"/>
    </row>
    <row r="59" spans="1:17" ht="19.350000000000001" customHeight="1">
      <c r="A59" s="76"/>
    </row>
    <row r="62" spans="1:17" ht="19.350000000000001" customHeight="1">
      <c r="A62" s="75"/>
    </row>
    <row r="63" spans="1:17" ht="19.350000000000001" customHeight="1">
      <c r="A63" s="76"/>
    </row>
  </sheetData>
  <sortState xmlns:xlrd2="http://schemas.microsoft.com/office/spreadsheetml/2017/richdata2" ref="B3:S32">
    <sortCondition ref="B3:B32"/>
  </sortState>
  <hyperlinks>
    <hyperlink ref="S23" r:id="rId1" xr:uid="{7B2A7EBA-0F49-4376-814A-16F064C27F2B}"/>
    <hyperlink ref="S27" r:id="rId2" xr:uid="{949BB928-99EF-42D4-B8EF-28AD6485AA85}"/>
    <hyperlink ref="S24" r:id="rId3" xr:uid="{DF9400C5-32C0-4748-BF30-613176989588}"/>
    <hyperlink ref="S8" r:id="rId4" xr:uid="{D68DD657-7317-4886-9968-CBACC40AB457}"/>
    <hyperlink ref="S12" r:id="rId5" xr:uid="{BDDF1D92-C200-430D-A135-EB53BA87A281}"/>
    <hyperlink ref="S18" r:id="rId6" xr:uid="{685CEB52-E6D4-4612-9465-7E06C08A1E38}"/>
    <hyperlink ref="S7" r:id="rId7" xr:uid="{530483C7-7AE3-482C-B1E4-CC2769C4B17B}"/>
    <hyperlink ref="S19" r:id="rId8" xr:uid="{6E92BDA4-6F2B-4CFA-875E-C85CF7228712}"/>
    <hyperlink ref="S26" r:id="rId9" xr:uid="{BD5FB844-A931-4C92-8C9D-C1A1ACF1B1A1}"/>
    <hyperlink ref="S22" r:id="rId10" xr:uid="{58B331E4-A3E8-4F51-8A98-8C29F7970883}"/>
    <hyperlink ref="S17" r:id="rId11" xr:uid="{CD992380-157C-4FB0-B9F5-4FFD98646F1F}"/>
    <hyperlink ref="S16" r:id="rId12" xr:uid="{0BC850D1-718F-42E3-9CE4-5F3C603519DC}"/>
    <hyperlink ref="S14" r:id="rId13" xr:uid="{B1D9C189-A9A9-4BFB-BD7E-F6E4B947FE7C}"/>
    <hyperlink ref="S6" r:id="rId14" xr:uid="{DB2F1CC8-5BC3-4829-A28F-FF946CA7DD28}"/>
    <hyperlink ref="S29" r:id="rId15" xr:uid="{4DD3A628-C86C-4FEE-8477-0A35C0C45CA6}"/>
    <hyperlink ref="S20" r:id="rId16" xr:uid="{B7D831FB-5127-40D6-A8D6-656168D40054}"/>
    <hyperlink ref="S3" r:id="rId17" xr:uid="{A2B8CFA4-EC8E-48FF-B53F-E3ED7FCEFED5}"/>
    <hyperlink ref="S32" r:id="rId18" xr:uid="{96926E60-9BC0-45D8-A988-934118A8A03F}"/>
    <hyperlink ref="S11" r:id="rId19" xr:uid="{BF2088FB-9E19-499B-9149-681B4A459012}"/>
    <hyperlink ref="S13" r:id="rId20" xr:uid="{3D42F21F-8EE3-4E81-BE3B-34201DD7A9D8}"/>
    <hyperlink ref="S15" r:id="rId21" xr:uid="{8001AF4D-DDCC-4F1C-99FE-5FE7B838DBE2}"/>
  </hyperlinks>
  <pageMargins left="0.7" right="0.7" top="0.75" bottom="0.75" header="0.3" footer="0.3"/>
  <pageSetup orientation="landscape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selection activeCell="C2" sqref="C2:C34"/>
    </sheetView>
  </sheetViews>
  <sheetFormatPr defaultColWidth="8.88671875" defaultRowHeight="14.4"/>
  <cols>
    <col min="1" max="1" width="6.109375" customWidth="1"/>
    <col min="2" max="2" width="23.88671875" customWidth="1"/>
    <col min="3" max="3" width="21.44140625" style="1" customWidth="1"/>
  </cols>
  <sheetData>
    <row r="1" spans="1:3" ht="15.6">
      <c r="A1" s="2" t="s">
        <v>0</v>
      </c>
      <c r="B1" s="3" t="s">
        <v>1</v>
      </c>
      <c r="C1" s="4" t="s">
        <v>89</v>
      </c>
    </row>
    <row r="2" spans="1:3">
      <c r="A2" s="5">
        <v>1</v>
      </c>
      <c r="B2" s="6" t="s">
        <v>6</v>
      </c>
      <c r="C2" s="7" t="s">
        <v>90</v>
      </c>
    </row>
    <row r="3" spans="1:3">
      <c r="A3" s="5">
        <v>2</v>
      </c>
      <c r="B3" s="6" t="s">
        <v>7</v>
      </c>
      <c r="C3" s="7" t="s">
        <v>91</v>
      </c>
    </row>
    <row r="4" spans="1:3">
      <c r="A4" s="5">
        <v>3</v>
      </c>
      <c r="B4" s="6" t="s">
        <v>8</v>
      </c>
      <c r="C4" s="7" t="s">
        <v>91</v>
      </c>
    </row>
    <row r="5" spans="1:3">
      <c r="A5" s="5">
        <v>4</v>
      </c>
      <c r="B5" s="6" t="s">
        <v>87</v>
      </c>
      <c r="C5" s="7" t="s">
        <v>92</v>
      </c>
    </row>
    <row r="6" spans="1:3">
      <c r="A6" s="5">
        <v>5</v>
      </c>
      <c r="B6" s="6" t="s">
        <v>9</v>
      </c>
      <c r="C6" s="7" t="s">
        <v>90</v>
      </c>
    </row>
    <row r="7" spans="1:3">
      <c r="A7" s="5">
        <v>6</v>
      </c>
      <c r="B7" s="6" t="s">
        <v>96</v>
      </c>
      <c r="C7" s="7" t="s">
        <v>97</v>
      </c>
    </row>
    <row r="8" spans="1:3">
      <c r="A8" s="5">
        <v>7</v>
      </c>
      <c r="B8" s="6" t="s">
        <v>10</v>
      </c>
      <c r="C8" s="7" t="s">
        <v>92</v>
      </c>
    </row>
    <row r="9" spans="1:3">
      <c r="A9" s="5">
        <v>8</v>
      </c>
      <c r="B9" s="6" t="s">
        <v>11</v>
      </c>
      <c r="C9" s="7" t="s">
        <v>91</v>
      </c>
    </row>
    <row r="10" spans="1:3">
      <c r="A10" s="5">
        <v>9</v>
      </c>
      <c r="B10" s="6" t="s">
        <v>88</v>
      </c>
      <c r="C10" s="7" t="s">
        <v>93</v>
      </c>
    </row>
    <row r="11" spans="1:3">
      <c r="A11" s="5">
        <v>10</v>
      </c>
      <c r="B11" s="6" t="s">
        <v>12</v>
      </c>
      <c r="C11" s="7" t="s">
        <v>90</v>
      </c>
    </row>
    <row r="12" spans="1:3">
      <c r="A12" s="5">
        <v>11</v>
      </c>
      <c r="B12" s="6" t="s">
        <v>17</v>
      </c>
      <c r="C12" s="7" t="s">
        <v>91</v>
      </c>
    </row>
    <row r="13" spans="1:3">
      <c r="A13" s="5">
        <v>12</v>
      </c>
      <c r="B13" s="9" t="s">
        <v>94</v>
      </c>
      <c r="C13" s="7" t="s">
        <v>92</v>
      </c>
    </row>
    <row r="14" spans="1:3">
      <c r="A14" s="5">
        <v>13</v>
      </c>
      <c r="B14" s="6" t="s">
        <v>18</v>
      </c>
      <c r="C14" s="7" t="s">
        <v>91</v>
      </c>
    </row>
    <row r="15" spans="1:3">
      <c r="A15" s="5">
        <v>14</v>
      </c>
      <c r="B15" s="6" t="s">
        <v>23</v>
      </c>
      <c r="C15" s="7" t="s">
        <v>90</v>
      </c>
    </row>
    <row r="16" spans="1:3">
      <c r="A16" s="5">
        <v>15</v>
      </c>
      <c r="B16" s="6" t="s">
        <v>24</v>
      </c>
      <c r="C16" s="7" t="s">
        <v>92</v>
      </c>
    </row>
    <row r="17" spans="1:3">
      <c r="A17" s="5">
        <v>16</v>
      </c>
      <c r="B17" s="6" t="s">
        <v>82</v>
      </c>
      <c r="C17" s="7" t="s">
        <v>90</v>
      </c>
    </row>
    <row r="18" spans="1:3">
      <c r="A18" s="5">
        <v>17</v>
      </c>
      <c r="B18" s="6" t="s">
        <v>25</v>
      </c>
      <c r="C18" s="7" t="s">
        <v>90</v>
      </c>
    </row>
    <row r="19" spans="1:3">
      <c r="A19" s="5">
        <v>18</v>
      </c>
      <c r="B19" s="6" t="s">
        <v>30</v>
      </c>
      <c r="C19" s="7" t="s">
        <v>90</v>
      </c>
    </row>
    <row r="20" spans="1:3">
      <c r="A20" s="5">
        <v>19</v>
      </c>
      <c r="B20" s="6" t="s">
        <v>35</v>
      </c>
      <c r="C20" s="7" t="s">
        <v>91</v>
      </c>
    </row>
    <row r="21" spans="1:3">
      <c r="A21" s="5">
        <v>20</v>
      </c>
      <c r="B21" s="6" t="s">
        <v>40</v>
      </c>
      <c r="C21" s="7" t="s">
        <v>90</v>
      </c>
    </row>
    <row r="22" spans="1:3">
      <c r="A22" s="5">
        <v>21</v>
      </c>
      <c r="B22" s="6" t="s">
        <v>41</v>
      </c>
      <c r="C22" s="7" t="s">
        <v>93</v>
      </c>
    </row>
    <row r="23" spans="1:3">
      <c r="A23" s="5">
        <v>22</v>
      </c>
      <c r="B23" s="6" t="s">
        <v>42</v>
      </c>
      <c r="C23" s="7" t="s">
        <v>92</v>
      </c>
    </row>
    <row r="24" spans="1:3">
      <c r="A24" s="5">
        <v>23</v>
      </c>
      <c r="B24" s="20" t="s">
        <v>98</v>
      </c>
      <c r="C24" s="7" t="s">
        <v>90</v>
      </c>
    </row>
    <row r="25" spans="1:3">
      <c r="A25" s="5">
        <v>24</v>
      </c>
      <c r="B25" s="6" t="s">
        <v>48</v>
      </c>
      <c r="C25" s="7" t="s">
        <v>92</v>
      </c>
    </row>
    <row r="26" spans="1:3">
      <c r="A26" s="5">
        <v>25</v>
      </c>
      <c r="B26" s="6" t="s">
        <v>53</v>
      </c>
      <c r="C26" s="7" t="s">
        <v>90</v>
      </c>
    </row>
    <row r="27" spans="1:3">
      <c r="A27" s="5">
        <v>26</v>
      </c>
      <c r="B27" s="6" t="s">
        <v>54</v>
      </c>
      <c r="C27" s="7" t="s">
        <v>92</v>
      </c>
    </row>
    <row r="28" spans="1:3">
      <c r="A28" s="5">
        <v>27</v>
      </c>
      <c r="B28" s="6" t="s">
        <v>59</v>
      </c>
      <c r="C28" s="7" t="s">
        <v>90</v>
      </c>
    </row>
    <row r="29" spans="1:3">
      <c r="A29" s="5">
        <v>28</v>
      </c>
      <c r="B29" s="6" t="s">
        <v>64</v>
      </c>
      <c r="C29" s="7" t="s">
        <v>90</v>
      </c>
    </row>
    <row r="30" spans="1:3">
      <c r="A30" s="5">
        <v>29</v>
      </c>
      <c r="B30" s="6" t="s">
        <v>69</v>
      </c>
      <c r="C30" s="7" t="s">
        <v>92</v>
      </c>
    </row>
    <row r="31" spans="1:3">
      <c r="A31" s="5">
        <v>30</v>
      </c>
      <c r="B31" s="6" t="s">
        <v>74</v>
      </c>
      <c r="C31" s="7" t="s">
        <v>90</v>
      </c>
    </row>
    <row r="32" spans="1:3">
      <c r="A32" s="5">
        <v>31</v>
      </c>
      <c r="B32" s="6" t="s">
        <v>79</v>
      </c>
      <c r="C32" s="7" t="s">
        <v>91</v>
      </c>
    </row>
    <row r="33" spans="1:3">
      <c r="A33" s="5">
        <v>32</v>
      </c>
      <c r="B33" s="20" t="s">
        <v>80</v>
      </c>
      <c r="C33" s="7" t="s">
        <v>91</v>
      </c>
    </row>
    <row r="34" spans="1:3">
      <c r="A34" s="5">
        <v>33</v>
      </c>
      <c r="B34" s="8" t="s">
        <v>81</v>
      </c>
      <c r="C34" s="7" t="s">
        <v>91</v>
      </c>
    </row>
  </sheetData>
  <sortState xmlns:xlrd2="http://schemas.microsoft.com/office/spreadsheetml/2017/richdata2" ref="B2:C35">
    <sortCondition ref="B2:B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Tabel benef + apartinatori</vt:lpstr>
      <vt:lpstr>Grade de dependenta</vt:lpstr>
      <vt:lpstr>'Tabel benef + apartinatori'!_Hlk203734156</vt:lpstr>
      <vt:lpstr>'Tabel benef + apartinatori'!_Hlk216012084</vt:lpstr>
      <vt:lpstr>'Tabel benef + apartinatori'!_Hlk216864020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Beniamin Caraulasu</dc:creator>
  <cp:lastModifiedBy>Pc</cp:lastModifiedBy>
  <cp:lastPrinted>2026-07-03T17:17:08Z</cp:lastPrinted>
  <dcterms:created xsi:type="dcterms:W3CDTF">2024-06-10T19:29:00Z</dcterms:created>
  <dcterms:modified xsi:type="dcterms:W3CDTF">2026-07-24T16:46:03Z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B3E6F54C15C3402ABAB445B034CE32D9_12</vt:lpwstr>
  </property>
  <property fmtid="{D5CDD505-2E9C-101B-9397-08002B2CF9AE}" pid="3" name="KSOProductBuildVer">
    <vt:lpwstr>1033-12.2.0.17545</vt:lpwstr>
  </property>
</Properties>
</file>