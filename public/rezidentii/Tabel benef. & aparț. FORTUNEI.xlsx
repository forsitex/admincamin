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C:\Users\Pc\Desktop\CĂMINE 2026\FORTUNEI\"/>
    </mc:Choice>
  </mc:AlternateContent>
  <xr:revisionPtr revIDLastSave="0" documentId="13_ncr:1_{620B9DCA-0B41-467A-9CE5-2700F5119C59}" xr6:coauthVersionLast="47" xr6:coauthVersionMax="47" xr10:uidLastSave="{00000000-0000-0000-0000-000000000000}"/>
  <bookViews>
    <workbookView xWindow="-108" yWindow="-108" windowWidth="23256" windowHeight="12576" tabRatio="559" xr2:uid="{00000000-000D-0000-FFFF-FFFF00000000}"/>
  </bookViews>
  <sheets>
    <sheet name="Tabel benef + apartinatori" sheetId="1" r:id="rId1"/>
  </sheets>
  <definedNames>
    <definedName name="_Hlk191451774" localSheetId="0">'Tabel benef + apartinatori'!#REF!</definedName>
    <definedName name="_Hlk191997943" localSheetId="0">'Tabel benef + apartinatori'!#REF!</definedName>
    <definedName name="_Hlk191998082" localSheetId="0">'Tabel benef + apartinatori'!#REF!</definedName>
    <definedName name="_Hlk192850735" localSheetId="0">'Tabel benef + apartinatori'!#REF!</definedName>
    <definedName name="_Hlk197010976" localSheetId="0">'Tabel benef + apartinatori'!#REF!</definedName>
    <definedName name="_Hlk197843052" localSheetId="0">'Tabel benef + apartinatori'!#REF!</definedName>
    <definedName name="_Hlk198743197" localSheetId="0">'Tabel benef + apartinatori'!$B$51</definedName>
    <definedName name="_Hlk199267302" localSheetId="0">'Tabel benef + apartinatori'!$B$77</definedName>
    <definedName name="_Hlk199600504" localSheetId="0">'Tabel benef + apartinatori'!$B$15</definedName>
    <definedName name="_Hlk200288009" localSheetId="0">'Tabel benef + apartinatori'!$I$61</definedName>
    <definedName name="_Hlk202005485" localSheetId="0">'Tabel benef + apartinatori'!$B$50</definedName>
    <definedName name="_Hlk205893316" localSheetId="0">'Tabel benef + apartinatori'!#REF!</definedName>
    <definedName name="_Hlk217390779" localSheetId="0">'Tabel benef + apartinatori'!$J$46</definedName>
    <definedName name="_Hlk221538890" localSheetId="0">'Tabel benef + apartinatori'!$B$19</definedName>
  </definedNames>
  <calcPr calcId="191029"/>
</workbook>
</file>

<file path=xl/calcChain.xml><?xml version="1.0" encoding="utf-8"?>
<calcChain xmlns="http://schemas.openxmlformats.org/spreadsheetml/2006/main">
  <c r="E24" i="1" l="1"/>
  <c r="D24" i="1"/>
  <c r="E78" i="1"/>
  <c r="D78" i="1"/>
  <c r="D28" i="1"/>
  <c r="E28" i="1"/>
  <c r="D8" i="1"/>
  <c r="E8" i="1"/>
  <c r="E38" i="1"/>
  <c r="D38" i="1"/>
  <c r="D5" i="1"/>
  <c r="E5" i="1"/>
  <c r="D77" i="1"/>
  <c r="E77" i="1"/>
  <c r="D7" i="1"/>
  <c r="E7" i="1"/>
  <c r="D75" i="1"/>
  <c r="E75" i="1"/>
  <c r="D19" i="1"/>
  <c r="E19" i="1"/>
  <c r="E20" i="1"/>
  <c r="D20" i="1"/>
  <c r="E18" i="1"/>
  <c r="D18" i="1"/>
  <c r="E22" i="1"/>
  <c r="D22" i="1"/>
  <c r="E16" i="1" l="1"/>
  <c r="D16" i="1"/>
  <c r="E79" i="1"/>
  <c r="D79" i="1"/>
  <c r="D17" i="1" l="1"/>
  <c r="E17" i="1"/>
  <c r="D71" i="1"/>
  <c r="E71" i="1"/>
  <c r="D26" i="1"/>
  <c r="E26" i="1"/>
  <c r="E66" i="1"/>
  <c r="D66" i="1"/>
  <c r="D72" i="1"/>
  <c r="E72" i="1"/>
  <c r="E65" i="1"/>
  <c r="D65" i="1"/>
  <c r="D69" i="1"/>
  <c r="E69" i="1"/>
  <c r="D11" i="1"/>
  <c r="E11" i="1"/>
  <c r="D64" i="1"/>
  <c r="E64" i="1"/>
  <c r="D74" i="1"/>
  <c r="E74" i="1"/>
  <c r="D70" i="1"/>
  <c r="E70" i="1"/>
  <c r="D35" i="1"/>
  <c r="E35" i="1"/>
  <c r="E58" i="1"/>
  <c r="D58" i="1"/>
  <c r="D60" i="1"/>
  <c r="E60" i="1"/>
  <c r="E57" i="1"/>
  <c r="D57" i="1"/>
  <c r="E56" i="1"/>
  <c r="D56" i="1"/>
  <c r="E55" i="1"/>
  <c r="D55" i="1"/>
  <c r="E52" i="1"/>
  <c r="D52" i="1"/>
  <c r="E23" i="1"/>
  <c r="D23" i="1"/>
  <c r="E34" i="1" l="1"/>
  <c r="E50" i="1"/>
  <c r="E37" i="1"/>
  <c r="E73" i="1"/>
  <c r="E67" i="1"/>
  <c r="D37" i="1"/>
  <c r="D73" i="1"/>
  <c r="D67" i="1"/>
  <c r="D39" i="1"/>
  <c r="D40" i="1"/>
  <c r="D9" i="1"/>
  <c r="E47" i="1"/>
  <c r="D47" i="1"/>
  <c r="E39" i="1"/>
  <c r="E40" i="1"/>
  <c r="E46" i="1"/>
  <c r="D46" i="1"/>
  <c r="E30" i="1" l="1"/>
  <c r="E31" i="1"/>
  <c r="E32" i="1"/>
  <c r="E33" i="1"/>
  <c r="E21" i="1"/>
  <c r="D29" i="1"/>
  <c r="D30" i="1"/>
  <c r="D31" i="1"/>
  <c r="D32" i="1"/>
  <c r="D33" i="1"/>
  <c r="D34" i="1"/>
  <c r="D50" i="1"/>
  <c r="D21" i="1"/>
  <c r="D68" i="1" l="1"/>
  <c r="D27" i="1"/>
  <c r="D62" i="1"/>
  <c r="D51" i="1"/>
  <c r="E9" i="1"/>
  <c r="D36" i="1" l="1"/>
  <c r="D53" i="1"/>
  <c r="E36" i="1" l="1"/>
  <c r="E53" i="1"/>
  <c r="E14" i="1"/>
  <c r="E45" i="1"/>
  <c r="E59" i="1"/>
  <c r="E15" i="1"/>
  <c r="E54" i="1"/>
  <c r="D14" i="1"/>
  <c r="D45" i="1"/>
  <c r="D59" i="1"/>
  <c r="D15" i="1"/>
  <c r="D54" i="1"/>
  <c r="E6" i="1" l="1"/>
  <c r="E3" i="1"/>
  <c r="E48" i="1"/>
  <c r="E4" i="1"/>
  <c r="E10" i="1"/>
  <c r="E63" i="1"/>
  <c r="E61" i="1"/>
  <c r="E12" i="1"/>
  <c r="E13" i="1"/>
  <c r="E25" i="1"/>
  <c r="E76" i="1"/>
  <c r="E68" i="1"/>
  <c r="E27" i="1"/>
  <c r="E62" i="1"/>
  <c r="E51" i="1"/>
  <c r="E29" i="1"/>
  <c r="D6" i="1" l="1"/>
  <c r="D3" i="1"/>
  <c r="D48" i="1"/>
  <c r="D4" i="1"/>
  <c r="D10" i="1"/>
  <c r="D63" i="1"/>
  <c r="D61" i="1"/>
  <c r="D12" i="1"/>
  <c r="D13" i="1"/>
  <c r="D25" i="1"/>
  <c r="D76" i="1"/>
  <c r="D49" i="1" l="1"/>
  <c r="E49" i="1"/>
</calcChain>
</file>

<file path=xl/sharedStrings.xml><?xml version="1.0" encoding="utf-8"?>
<sst xmlns="http://schemas.openxmlformats.org/spreadsheetml/2006/main" count="721" uniqueCount="574">
  <si>
    <t>Nume si prenume</t>
  </si>
  <si>
    <t>CNP</t>
  </si>
  <si>
    <t>Varsta</t>
  </si>
  <si>
    <t>Zi nastere</t>
  </si>
  <si>
    <t>adresa</t>
  </si>
  <si>
    <t>Ion Oana Cristina</t>
  </si>
  <si>
    <t>0722780568</t>
  </si>
  <si>
    <t>Aloman Dana Cosmina</t>
  </si>
  <si>
    <t>0721316729</t>
  </si>
  <si>
    <t>PX nr. 567241</t>
  </si>
  <si>
    <t>PC nr. 812074</t>
  </si>
  <si>
    <t>XZ nr. 645695</t>
  </si>
  <si>
    <t>RT nr. 959966</t>
  </si>
  <si>
    <t>Serie si nr. CI</t>
  </si>
  <si>
    <t>nr. Telefon</t>
  </si>
  <si>
    <t>București, sect. 6, Bd. Ceahlău, nr. 6, bl 26, sc A, et. 2, ap 7</t>
  </si>
  <si>
    <t>EXTERNĂRI/DECESE</t>
  </si>
  <si>
    <t>DATA EXTERNĂRII</t>
  </si>
  <si>
    <t>EXTERNAT/TRANSFERAT/DECEDAT</t>
  </si>
  <si>
    <t>Data internare</t>
  </si>
  <si>
    <t>Buzău, loc. Buzău, bd Unirii, bl E1, et 2, ap 5</t>
  </si>
  <si>
    <t>Prahova, loc. Tătărani, str. Rozelor, nr. 58</t>
  </si>
  <si>
    <t>IF nr.901827</t>
  </si>
  <si>
    <t>Ilfov, oraș Bragadiru, șoseaua Clinceni, nr.34A</t>
  </si>
  <si>
    <t>Ilfov, oraș Bragadiru, str.Povernei, nr.9-11</t>
  </si>
  <si>
    <t>Nr. Crt</t>
  </si>
  <si>
    <t>Număr contract</t>
  </si>
  <si>
    <t>Adresa</t>
  </si>
  <si>
    <t>Nr.crt.</t>
  </si>
  <si>
    <t>Nr. telefon</t>
  </si>
  <si>
    <t>PH nr. 682768</t>
  </si>
  <si>
    <t xml:space="preserve">Mun. PLOIEȘTI, str. Jianu, nr.2, bl.A, sc.B, et.4, ap.55, județ Prahova </t>
  </si>
  <si>
    <t>RK nr. 763659</t>
  </si>
  <si>
    <t>BUCUREȘTI, sector 2, str. Ritmului, nr.14, bl.432, sc.2. et.9, ap.84</t>
  </si>
  <si>
    <t>0722163012;0721286150(nora)</t>
  </si>
  <si>
    <t>Prahova, comuna Bărcănești, sat. Tătărani, str. Rozelor, nr. 58</t>
  </si>
  <si>
    <t>0735517186 (nora); 0723140297 (fiu)</t>
  </si>
  <si>
    <t>05.05.2025</t>
  </si>
  <si>
    <t>22.04.2025</t>
  </si>
  <si>
    <t>DIACOV VALERIU</t>
  </si>
  <si>
    <t>CERTIFICAT HANDICAP</t>
  </si>
  <si>
    <t>TUTORE</t>
  </si>
  <si>
    <t>RR nr. 748884</t>
  </si>
  <si>
    <t>București, Sect. 5, Str. Bărdașului, nr.48</t>
  </si>
  <si>
    <t>DIACOV LEONARD</t>
  </si>
  <si>
    <t>XF nr. 002576</t>
  </si>
  <si>
    <t>Ilfov, Orș. Bragadiru, Str. Râul Vedea, nr. 8E, vila 2</t>
  </si>
  <si>
    <t>0762616547</t>
  </si>
  <si>
    <t>25.07.2025</t>
  </si>
  <si>
    <t>08.08.2025</t>
  </si>
  <si>
    <t>BĂȚĂUȘ ELENA</t>
  </si>
  <si>
    <t>CANAVEA ELENA</t>
  </si>
  <si>
    <t>CIODARU GHEORGHIȚA</t>
  </si>
  <si>
    <t>COJOCARU ION</t>
  </si>
  <si>
    <t>COSTACHE FLORICA</t>
  </si>
  <si>
    <t>DRĂGAN CARMEN-AURORA</t>
  </si>
  <si>
    <t>NEDELCU VALERIA</t>
  </si>
  <si>
    <t>NICULAE CAMELIA</t>
  </si>
  <si>
    <t>RĂDULESCU MARIEA</t>
  </si>
  <si>
    <t>RIZEA GHEORGHE</t>
  </si>
  <si>
    <t>SIMA SOFICA</t>
  </si>
  <si>
    <t>SIPICĂ MARIAN</t>
  </si>
  <si>
    <t>SIPICĂ STĂNEL</t>
  </si>
  <si>
    <t>STANCU ANTON</t>
  </si>
  <si>
    <t>STATE STANA</t>
  </si>
  <si>
    <t>TRIPON GHEORGHE</t>
  </si>
  <si>
    <t>VĂTĂJELU MARIA</t>
  </si>
  <si>
    <t>VELEAT ELENA</t>
  </si>
  <si>
    <t>ALALIȚEI OCTAVIAN-GABRIEL</t>
  </si>
  <si>
    <t>BĂDICA ORLANDO-CĂTĂLIN</t>
  </si>
  <si>
    <t>XC nr.609602</t>
  </si>
  <si>
    <t xml:space="preserve">Orș. Târgu Ocna, Bacău, str. Costache Negri, bl.A7, sc.C, ap.10 </t>
  </si>
  <si>
    <t xml:space="preserve">BANU NELU </t>
  </si>
  <si>
    <t>RK nr. 879672</t>
  </si>
  <si>
    <t>București, Sector 6, Ale. Cetățuia, nr.6, bl.M24.sc.7,et.4, ap.416</t>
  </si>
  <si>
    <t>0723426434</t>
  </si>
  <si>
    <t>AZ nr.450478</t>
  </si>
  <si>
    <t>26.07.2025</t>
  </si>
  <si>
    <t>Mun. Campulung, Str. Constantin Brâncoveanu nr. 11</t>
  </si>
  <si>
    <t>CANAVEA IULIAN-DRAGOS</t>
  </si>
  <si>
    <t>RZ nr.395973</t>
  </si>
  <si>
    <t>Mun. București, Sec. 3, Str. Matei Basarab nr.92, bl.L118, sc.1, ap.2</t>
  </si>
  <si>
    <t>740528620 (nora); 0744484561 (Florin); 07402142298(Iulian)</t>
  </si>
  <si>
    <t>RZ nr. 084171</t>
  </si>
  <si>
    <t>București, Sector 1, Str. Occidentului, nr.53-55, etaj 5, ap.28</t>
  </si>
  <si>
    <t>CIODARU MARCEL</t>
  </si>
  <si>
    <t>RK nr. 256557</t>
  </si>
  <si>
    <t>București, Secftor 6, Str.9 Mai, nr.3, bl.37, sc.B, etaj 3, ap.32</t>
  </si>
  <si>
    <t>0720717042</t>
  </si>
  <si>
    <t>RT nr.937705</t>
  </si>
  <si>
    <t>București,Sector 4, str. Runcu, nr. 64, ap.7</t>
  </si>
  <si>
    <t xml:space="preserve">COJOCARU VALI-MELANIA </t>
  </si>
  <si>
    <t>PR. nr.341363</t>
  </si>
  <si>
    <t xml:space="preserve">București , Sector 2, str.Sfânta Ana, nr.4, </t>
  </si>
  <si>
    <t>784800622</t>
  </si>
  <si>
    <t>PX nr. 972794</t>
  </si>
  <si>
    <t>Jud. Prahova, sat Popești, com. Brazi, str. Părului, nr. 64</t>
  </si>
  <si>
    <t>BOGDAN GEORGETA-VALENTINA</t>
  </si>
  <si>
    <t>PX nr. 833236</t>
  </si>
  <si>
    <t>+44 7761260303</t>
  </si>
  <si>
    <t>PX nr.257145</t>
  </si>
  <si>
    <t>Ploiești, Prahova, str. Cap. Traian Dumitrescu, nr.37</t>
  </si>
  <si>
    <t>SOARE CONSTAȚA</t>
  </si>
  <si>
    <t>PH nr. 632443</t>
  </si>
  <si>
    <t>766421909</t>
  </si>
  <si>
    <t>RR nr. 848894</t>
  </si>
  <si>
    <t>Bucuresti, sect. 6, str.. intrarea Viforului, nr. 5, bloc. 12, sc. 7, et. 2, apatament 93</t>
  </si>
  <si>
    <t>NICULAE RICHARD-ANDREI</t>
  </si>
  <si>
    <t>RK nr. 640837</t>
  </si>
  <si>
    <t>Bucuresti, sect. 6, str. Calea Giulesti, nr. 60, bloc. 1, sc. 1, et. 1, ap. 27</t>
  </si>
  <si>
    <t>DS nr469784</t>
  </si>
  <si>
    <t>Com. Ștefan Cel Mare, Jdețul Olt</t>
  </si>
  <si>
    <t>RĂDULESCU CLAUDIU - ALEXANDRU</t>
  </si>
  <si>
    <t>OT nr. 908494</t>
  </si>
  <si>
    <t>Orș. Corabia, Județul Olt, str. Caraiman, nr.3,bl.E6, sc.1, et.2, ap.7</t>
  </si>
  <si>
    <t>0744473417</t>
  </si>
  <si>
    <t>XF nr.013413</t>
  </si>
  <si>
    <t>Ilfov, Orș. Pantelimon, Str. Tismana, nr.3</t>
  </si>
  <si>
    <t>GUINEA ELENA</t>
  </si>
  <si>
    <t>RZ nr. 035737</t>
  </si>
  <si>
    <t>București, Sec.3, Str. Liviu Rebreanu, nr. 46-58, bl. V, sc. H, et.5, ap.56</t>
  </si>
  <si>
    <t>PR nr. 333968</t>
  </si>
  <si>
    <t>Brăila, Mun. Brăila, Bdul Panait Istrate, nr.24</t>
  </si>
  <si>
    <t>OLTEANU GEORGETA</t>
  </si>
  <si>
    <t>SZ nr. 499929</t>
  </si>
  <si>
    <t>0730335733; 0733235791</t>
  </si>
  <si>
    <t>PR nr. 334245</t>
  </si>
  <si>
    <t>RK nr.891905</t>
  </si>
  <si>
    <t>București, Sector 6,Ale. Valea Salciei, nr.2, bl. M8, sc.B, et.10, ap.128</t>
  </si>
  <si>
    <t>STANCU GHERGHINA</t>
  </si>
  <si>
    <t>RK nr.273540</t>
  </si>
  <si>
    <t>0785598779</t>
  </si>
  <si>
    <t>PR nr.391160</t>
  </si>
  <si>
    <t>13.04.2025</t>
  </si>
  <si>
    <t>București, Sector 4, str.Lânariei,nr.147, sc.1, et.3, ap.4</t>
  </si>
  <si>
    <t>STATE CONSTANTIN</t>
  </si>
  <si>
    <t>RK nr.539434</t>
  </si>
  <si>
    <t>0799298294</t>
  </si>
  <si>
    <t>RK nr. 925729</t>
  </si>
  <si>
    <t>București, Sector 5, str. Pecineaga, nr.14, bl.23, sc.1, et.1, ap.7</t>
  </si>
  <si>
    <t>TRIPON MARINELA- CRISTINA</t>
  </si>
  <si>
    <t>IF nr.840265</t>
  </si>
  <si>
    <t>Orș. Bragadiru,jud. Ilfov, str. Garpfiței,nr.26E</t>
  </si>
  <si>
    <t>0736007681</t>
  </si>
  <si>
    <t>RZ nr. 060842</t>
  </si>
  <si>
    <t>București, Sector 3, Int. Horbotei, nr.6, bl.T4, sc.1, et.9, ap.37.</t>
  </si>
  <si>
    <t>DAN NICOLETA</t>
  </si>
  <si>
    <t>RK nr.864156</t>
  </si>
  <si>
    <t>0764393077</t>
  </si>
  <si>
    <t>RT nr. 343619</t>
  </si>
  <si>
    <t>București, Sector 4, Șoseaua Olteniței, nr.81,  bl. 6, sc.3, et.5, ap.96</t>
  </si>
  <si>
    <t>XF  nr. 002576</t>
  </si>
  <si>
    <t>Ilfov, Oraș Bragadiru, Str.Râul Vedea, nr.8E vila 2</t>
  </si>
  <si>
    <t>16.03.2025</t>
  </si>
  <si>
    <t xml:space="preserve">BANU MARIA </t>
  </si>
  <si>
    <t xml:space="preserve">IANCU IOANA </t>
  </si>
  <si>
    <t>RT nr. 518528</t>
  </si>
  <si>
    <t>Mun. București, Sector 5, Str.Radu Gonstantin, Nr.24, Bl. Z21, sc.1, et.1, ap.25</t>
  </si>
  <si>
    <t xml:space="preserve">SARI MIHAELA </t>
  </si>
  <si>
    <t>RK, NR 086918</t>
  </si>
  <si>
    <t>+32455199053</t>
  </si>
  <si>
    <t xml:space="preserve">EXTERNARE </t>
  </si>
  <si>
    <t xml:space="preserve">CIURTIN IOAN </t>
  </si>
  <si>
    <t>DE nr. 175162</t>
  </si>
  <si>
    <t>Mun. București, Sec. 1, Str. Vasile Gherghel, nr. 81</t>
  </si>
  <si>
    <t xml:space="preserve">PREDA SIMONA - IOANA </t>
  </si>
  <si>
    <t>RZ nr. 517973</t>
  </si>
  <si>
    <t>Mun. București, Sec. 5, Str. Măgurei, nr. 1-5, bl. D1, sc. 1, et. 4, ap. 71</t>
  </si>
  <si>
    <t>RX nr. 256679</t>
  </si>
  <si>
    <t>Mun. București, Sec. 3, Str. Miniș, nr. 4, bl. X6, sc. 1, et. 8, ap.10</t>
  </si>
  <si>
    <t>DOBRE TUDORIȚA</t>
  </si>
  <si>
    <t>RK nr. 828032</t>
  </si>
  <si>
    <t>Mun. București, Sec. 3, Str. Lemnișorului, nr. 6, bl. G41, sc. 1, ap. 1</t>
  </si>
  <si>
    <t xml:space="preserve">DOBRE CONSTANTIN </t>
  </si>
  <si>
    <t xml:space="preserve">  </t>
  </si>
  <si>
    <t xml:space="preserve">RAVLIUC MIHAIL </t>
  </si>
  <si>
    <t>RZ nr. 022120</t>
  </si>
  <si>
    <t>Mun. București, Sector 4, Șos. Olteniței, nr. 234, bl. 58, sc. A, ap. 46</t>
  </si>
  <si>
    <t>PAVEL GABRIEL</t>
  </si>
  <si>
    <t>RD nr.906325</t>
  </si>
  <si>
    <t>Mun. București, Sector 4, Str. Frumușani, nr. 8, bl. 101, sc. 1, et. 1, ap. 8</t>
  </si>
  <si>
    <t xml:space="preserve">NEGOIȚĂ MARIAN </t>
  </si>
  <si>
    <t>RK nr. 028744</t>
  </si>
  <si>
    <t>Mun. București, Sector 5, Str. Bârca, nr. 9, bl. M87, sc. 1, et. 8, ap. 29.</t>
  </si>
  <si>
    <t>NEGOIȚĂ ALEXANDRA - MIHAELA</t>
  </si>
  <si>
    <t>RK nr.028472</t>
  </si>
  <si>
    <t>MATEI GHEORGHE</t>
  </si>
  <si>
    <t>RT nr.859476</t>
  </si>
  <si>
    <t>Mun. București, Sec. 4, Str. Huedin, nr.11, bl. 11, sc.1, et. 5, ap. 33</t>
  </si>
  <si>
    <t>MATEI CRISTIAN - ANTONIU</t>
  </si>
  <si>
    <t>MB1034846</t>
  </si>
  <si>
    <t>Mun. București, Sec. 2, Str. Clejani, nr.2</t>
  </si>
  <si>
    <t>BT nr. 453182</t>
  </si>
  <si>
    <t>Com. Pătulele, Jud. Mehedinți</t>
  </si>
  <si>
    <t>PLENICEANU MIHAI</t>
  </si>
  <si>
    <t>MH nr.658955</t>
  </si>
  <si>
    <t>Mun. Drobeta-Turnu Severin, Jud. Mehedinți, Str. Cicero, nr.113A, bl.S13A, sc.2, et.2, ap. 9</t>
  </si>
  <si>
    <t xml:space="preserve"> </t>
  </si>
  <si>
    <t>DK nr.016217</t>
  </si>
  <si>
    <t>Mun. București, Sector 6, Bdl. Păcii, nr. 94-100, bl. 18, sc. 3, et. 2 , ap. 90</t>
  </si>
  <si>
    <t>CONSTANTIN LUCIAN</t>
  </si>
  <si>
    <t>RZ nr. 224483</t>
  </si>
  <si>
    <t>Mun. București, Sector 6, Str. Dealul Țugulea, nr. 64, bl. D3, sc.4, et.2, ap. 62</t>
  </si>
  <si>
    <t>BĂLTĂREȚ MARIEA</t>
  </si>
  <si>
    <t>IF nr. 532682</t>
  </si>
  <si>
    <t>Sat Domnești (Com. Domnești), Jud. Ilfov, Șos. Tudor Vladimirescu nr.159</t>
  </si>
  <si>
    <t xml:space="preserve">LUCA FĂNUȚA- IULIANA </t>
  </si>
  <si>
    <t>XF nr. 021375</t>
  </si>
  <si>
    <t>DRĂGHICI MARIA</t>
  </si>
  <si>
    <t>RR nr. 840300</t>
  </si>
  <si>
    <t>Mun. București, Sector 6, Prl. Ghenecea, nr.279B, et.2, ap. 23</t>
  </si>
  <si>
    <t>DRĂGHICI VASILE – BOGDAN- CLAUDIU</t>
  </si>
  <si>
    <t>IF nr. 589515</t>
  </si>
  <si>
    <t>Sat Clinceni(Com. Clinceni), Jud. Ilfov,Str. Ortansei, nr.114F</t>
  </si>
  <si>
    <t xml:space="preserve">DECES SPITAL </t>
  </si>
  <si>
    <t>IF nr. 462122</t>
  </si>
  <si>
    <t>IL, Mun. Slobozia, Str. Constructorilor, nr.3</t>
  </si>
  <si>
    <t>PLENICIANU ELENA</t>
  </si>
  <si>
    <t>BĂNICĂ MIHAELA</t>
  </si>
  <si>
    <t>RT nr. 350730</t>
  </si>
  <si>
    <t>Mun. București, Sec.6, Str. Sibiu, nr.6, bl.E23, sc.A, et.6, ap.32</t>
  </si>
  <si>
    <t>BĂNICĂ DUMITRU</t>
  </si>
  <si>
    <t>RZ nr. 367515</t>
  </si>
  <si>
    <t>Mun. BucureștiSec.6, Str. Cal. Crângași, nr.25, bl.20, sc.2, et.7, ap.63</t>
  </si>
  <si>
    <t xml:space="preserve">MUNTEANU FLORIN </t>
  </si>
  <si>
    <t>RK nr.473475</t>
  </si>
  <si>
    <t>Mun. București, Sec. 6, Str.Câmpul cu Flori, nr.5, bl.M48, sc.B, et.6, ap.103</t>
  </si>
  <si>
    <t>MUNTEANU MARIAN</t>
  </si>
  <si>
    <t>RK nr.161945</t>
  </si>
  <si>
    <t>Mun. București, Sector 6 , Bd.Iuliu Maniu, nr.12, bl.M16, sc.A, et.1, ap.11</t>
  </si>
  <si>
    <t>ALALIȚEI MARIA</t>
  </si>
  <si>
    <t>Nr.7794/22.11.2024,grav cu asistent personal, permanent</t>
  </si>
  <si>
    <t xml:space="preserve">Nr.3042/19.05.2025, grav cu asistent personal, 24 luni </t>
  </si>
  <si>
    <t>Nr.3187/25.09.2025,grav cu asistent personal, 24 luni</t>
  </si>
  <si>
    <t>Nr.3219/06.12.2013, grav cu indemnizație de însoțitor, permanent</t>
  </si>
  <si>
    <t>Nr.632/22.01.2025, grav cu asistent personal, 24 luni</t>
  </si>
  <si>
    <t>Nr.7032/12.09.2025, grav cu asistent personal, 24 luni</t>
  </si>
  <si>
    <t>Nr.8752/11.11.2025, grav cu asistent personal, 24 luni</t>
  </si>
  <si>
    <t>Nr.3601/17.07.2025, grav cu asistent personal, permanent</t>
  </si>
  <si>
    <t>Nr.3237/12.10.2017, grav cu asistent personal, permanent</t>
  </si>
  <si>
    <t>nr.3212/14.09.2004, grav cu asistent personal, permanent</t>
  </si>
  <si>
    <t>DICULESCU VICTOR</t>
  </si>
  <si>
    <t>RX nr.467294</t>
  </si>
  <si>
    <t>domiciliul în Mun. București, Sec. 5, Păușa, nr.42</t>
  </si>
  <si>
    <t>DICULESCU COSMIN-CONSTANTIN</t>
  </si>
  <si>
    <t>RZ nr.331137</t>
  </si>
  <si>
    <t>Mun. București, Sec. 5, Păușa, nr.42</t>
  </si>
  <si>
    <t>VÂRSTĂ</t>
  </si>
  <si>
    <t>ZI DE NAȘTERE</t>
  </si>
  <si>
    <t>UNGUR GEORGETA</t>
  </si>
  <si>
    <t>RK nr. 830100</t>
  </si>
  <si>
    <t>Mun. București, Sec.6,  Ale.Cetășuia, nr.10, bl.25/1, sc.A, et.8, ap.36</t>
  </si>
  <si>
    <t>seria RK nr. 723918</t>
  </si>
  <si>
    <t>Mun.București, Sec.4, str. Pța.Națiunile Unite, nr.3-5, bl.A, sc.A,et.7, ap.52</t>
  </si>
  <si>
    <t>CRISTIAN RADA</t>
  </si>
  <si>
    <t xml:space="preserve">UNGUR IOAN </t>
  </si>
  <si>
    <t>LEPĂDATU ROJZALINA-ELENA</t>
  </si>
  <si>
    <t>RR nr. 841620</t>
  </si>
  <si>
    <t>Mun. București, Sec.6,  Ale.Cetățuia, nr.10, bl.25/1, sc.A, et.8, ap.36</t>
  </si>
  <si>
    <t>MIHAI ELENA</t>
  </si>
  <si>
    <t>PX. nr.893669</t>
  </si>
  <si>
    <t>Mun.Ploiești, Județul Prahova, Str. Int.Castor, nr.6, bl.G4, sc.A, ap.4</t>
  </si>
  <si>
    <t xml:space="preserve">DRĂGULINESCU ANA </t>
  </si>
  <si>
    <t>RZ nr. 420256</t>
  </si>
  <si>
    <t>Mun.București, Sec.6, Str. Valea Lungă, nr.3, bl.142, sc.B, et.8, ap.76</t>
  </si>
  <si>
    <t xml:space="preserve">DINU ION </t>
  </si>
  <si>
    <t>GG nr.318102</t>
  </si>
  <si>
    <t>Orș.Mihăilești, Jud.Giurgiu, Str. Tufa, nr.72</t>
  </si>
  <si>
    <t>DINU ADRIAN-EUGEN</t>
  </si>
  <si>
    <t xml:space="preserve">GG nr.458320 </t>
  </si>
  <si>
    <t>BG nr. 427303</t>
  </si>
  <si>
    <t>Județul Buzău, Comuna Robeasca</t>
  </si>
  <si>
    <t>RX nr. 386380</t>
  </si>
  <si>
    <t>Mun. București, Sector 3, Drm. Gura Siriului, nr.62-66, et.3, ap.13</t>
  </si>
  <si>
    <t>12.03.2025</t>
  </si>
  <si>
    <t>06.05.2025</t>
  </si>
  <si>
    <t>10.03.2025</t>
  </si>
  <si>
    <t>10.04.2025</t>
  </si>
  <si>
    <t>15.01.2026</t>
  </si>
  <si>
    <t>02.01.2026</t>
  </si>
  <si>
    <r>
      <t>MARINESCU GEORGETA</t>
    </r>
    <r>
      <rPr>
        <sz val="11"/>
        <color theme="1"/>
        <rFont val="Cambria"/>
        <family val="1"/>
      </rPr>
      <t xml:space="preserve"> </t>
    </r>
  </si>
  <si>
    <t>16.12.2025</t>
  </si>
  <si>
    <t>05.01.2026</t>
  </si>
  <si>
    <t>19.01.2026</t>
  </si>
  <si>
    <t>TUROI IRINA</t>
  </si>
  <si>
    <t xml:space="preserve">TR nr. 367285 </t>
  </si>
  <si>
    <t>24.01.2026</t>
  </si>
  <si>
    <t>Sat. Socetu (Com.Stejaru), Jud. Teleorman</t>
  </si>
  <si>
    <t>TUROI CRISTIAN</t>
  </si>
  <si>
    <t xml:space="preserve">XF nr. 000253 </t>
  </si>
  <si>
    <t>Sat.Domnești(Com.Domnești), Jud. Ilfov, Str.Rondului, nr.13</t>
  </si>
  <si>
    <t>CĂLINESCU DOINA</t>
  </si>
  <si>
    <t>PR nr. 387528</t>
  </si>
  <si>
    <t>22.01.2026</t>
  </si>
  <si>
    <t>București, Sec.4</t>
  </si>
  <si>
    <t>CALISTA IONELA</t>
  </si>
  <si>
    <t>RK nr. 611183</t>
  </si>
  <si>
    <t>București, Sec.4, Str.Săvinești, nr.10, bl.37, sc.1, et.1, ap.5</t>
  </si>
  <si>
    <t>DECES SUUB</t>
  </si>
  <si>
    <t>29.11.2025</t>
  </si>
  <si>
    <t>31.12.2025</t>
  </si>
  <si>
    <t>MORCOAȘE RADIAN</t>
  </si>
  <si>
    <t>TR nr. 809837</t>
  </si>
  <si>
    <t>Teleorman, Mun.Alexandria, Str.Tudor Vladimirescu, nr.64bis</t>
  </si>
  <si>
    <t>30.01.2026</t>
  </si>
  <si>
    <t>Nr.2404/30.06.2011, permanent, grav cu asistent personal</t>
  </si>
  <si>
    <t>FLOREA EUGENIA</t>
  </si>
  <si>
    <t>RT nr.796919</t>
  </si>
  <si>
    <t>București, Sector 5, Drm. Dârvari, nr.20</t>
  </si>
  <si>
    <t>FLOREA DOINA - MARIA</t>
  </si>
  <si>
    <t>RZ NR 037720</t>
  </si>
  <si>
    <t xml:space="preserve">BOKȘE MARIA </t>
  </si>
  <si>
    <t>RT nr. 807455</t>
  </si>
  <si>
    <t>08.02.2026</t>
  </si>
  <si>
    <t>Mun. BUCURESTI, Sec.6  Bld Timisoara, nr.44, bl.RATB, sc.1, et.3, ap.68</t>
  </si>
  <si>
    <t>CIOC MARIA</t>
  </si>
  <si>
    <t>RX nr. 682182</t>
  </si>
  <si>
    <t>BUCUREȘTI, sector 6, str. Vladeasa, nr.5, bl.c69, sc.1. et.7, ap.44</t>
  </si>
  <si>
    <t>04.02.2026</t>
  </si>
  <si>
    <t>TĂNĂSESCU GEORGETA</t>
  </si>
  <si>
    <t>BG nr. 014978</t>
  </si>
  <si>
    <t>22.02.2026</t>
  </si>
  <si>
    <t>București, Sector 4, Str. Vatra Dornei, nr.1, bl. A16, sc.1, CONSTANTIN IOANA-CRENGUȚAet.3, ap.16</t>
  </si>
  <si>
    <t>CONSTANTIN IOANA-CRENGUȚA</t>
  </si>
  <si>
    <t>RK nr. 586047</t>
  </si>
  <si>
    <t>București, Sector 6, Str. Dealul Țugulea, nr.64, bl. D3, sc.4, et.2, ap.62</t>
  </si>
  <si>
    <t>27.05.2025</t>
  </si>
  <si>
    <t>02.11.2025</t>
  </si>
  <si>
    <t>29.10.2025</t>
  </si>
  <si>
    <t>12.09.2025</t>
  </si>
  <si>
    <t>07.02.2026</t>
  </si>
  <si>
    <t>07.07.2025</t>
  </si>
  <si>
    <t>28.10.2025</t>
  </si>
  <si>
    <t>12.01.2026</t>
  </si>
  <si>
    <t>03.12.2025</t>
  </si>
  <si>
    <t>16.10.2025</t>
  </si>
  <si>
    <t>28.05.2025</t>
  </si>
  <si>
    <t>05.06.2025</t>
  </si>
  <si>
    <t>30.12.2025</t>
  </si>
  <si>
    <t>10.01.2026</t>
  </si>
  <si>
    <t>25.03.2025</t>
  </si>
  <si>
    <t>11.03.2025</t>
  </si>
  <si>
    <t>DECES ORA:14.30</t>
  </si>
  <si>
    <t>TUDICĂ GHEORGHIȚĂ</t>
  </si>
  <si>
    <t>RK nr.686200</t>
  </si>
  <si>
    <t>08.03.2026</t>
  </si>
  <si>
    <t>București Sec. 3 Str FRT.STAN CONSTANTIN NR 55</t>
  </si>
  <si>
    <t>TUDICĂ DOINIȚA</t>
  </si>
  <si>
    <t>IF  nr.  957795</t>
  </si>
  <si>
    <t>ILFOV, ORAS PANTELIMON, Str. CAISILOR NR 3F</t>
  </si>
  <si>
    <t>27.01.2026</t>
  </si>
  <si>
    <t>03.03.2026</t>
  </si>
  <si>
    <t>16.09.2025</t>
  </si>
  <si>
    <t>Nr.955/17.03.2026, 12 luni, grav cu asistent personal</t>
  </si>
  <si>
    <t>20.03.2026</t>
  </si>
  <si>
    <t>DECES ORA: 18.00 SPIT. MILITAR</t>
  </si>
  <si>
    <t>23.03.2026</t>
  </si>
  <si>
    <t>DECES ORA: 07.30</t>
  </si>
  <si>
    <t>DATCU VASILE</t>
  </si>
  <si>
    <t>DA nr. 010934</t>
  </si>
  <si>
    <t>29.03.2026</t>
  </si>
  <si>
    <t>București, Sec. 5, Str. Dumbrava Nouă, nr.8, bl. M81, sc.1, ap.3</t>
  </si>
  <si>
    <t>MOLDOVEANU MARIANA</t>
  </si>
  <si>
    <t>RZ nr. 202352</t>
  </si>
  <si>
    <t>31.03.2026</t>
  </si>
  <si>
    <t>01.04.2026</t>
  </si>
  <si>
    <t>03.04.2026</t>
  </si>
  <si>
    <t>TROGMAER LUCIAN</t>
  </si>
  <si>
    <t>DP nr. 173740</t>
  </si>
  <si>
    <t>05.04.2026</t>
  </si>
  <si>
    <t>. București, Sec.6,  Ale.Valea Lui Mihai, nr.11, bl.D1, sc.2, et.2, ap.16</t>
  </si>
  <si>
    <t>TROGMAER MARIANA</t>
  </si>
  <si>
    <t>DP nr. 187536</t>
  </si>
  <si>
    <t>07.04.2026</t>
  </si>
  <si>
    <t>06.04.2026</t>
  </si>
  <si>
    <t>STOENICĂ GABRIELA</t>
  </si>
  <si>
    <t>RT nr. 476504</t>
  </si>
  <si>
    <t>08.04.2026</t>
  </si>
  <si>
    <t>București, Sector 5, Șos. Alexandriei, nr.110, bl. M2, sc1, et.6, ap.39, ap.3</t>
  </si>
  <si>
    <t>STANCIU MAGDALENA-MIHAELA</t>
  </si>
  <si>
    <t>RZ nr. 307270</t>
  </si>
  <si>
    <t>București, Sector 5, Ale. Posada, nr.6, bl.32, sc.B, et.1, ap.21</t>
  </si>
  <si>
    <t>0743017127; 0742101501</t>
  </si>
  <si>
    <t>CĂPRUCI STELIAN</t>
  </si>
  <si>
    <t>RT nr. 909445</t>
  </si>
  <si>
    <t>10.04.2026</t>
  </si>
  <si>
    <t>București, Sec.3,  Ale.Școlarilor, nr.8, bl.S23, sc.1, et.3, ap.15</t>
  </si>
  <si>
    <t>CĂPRUCI ION-ROBERT</t>
  </si>
  <si>
    <t>RK nr. 036097</t>
  </si>
  <si>
    <t>11.04.2026</t>
  </si>
  <si>
    <t>TONCH IOANA-GABRIELA</t>
  </si>
  <si>
    <t>RK nr.451240</t>
  </si>
  <si>
    <t>14.04.2026</t>
  </si>
  <si>
    <t>București, Sector 2, Str. C.A.Rosetti, nr. 43, bl. 18, et. 4 , ap. 10</t>
  </si>
  <si>
    <t>MANEA MARIANA-ALEXANDRA</t>
  </si>
  <si>
    <t>RK nr. 451239</t>
  </si>
  <si>
    <t>0729270655</t>
  </si>
  <si>
    <t>12.04.2026</t>
  </si>
  <si>
    <t>DECES</t>
  </si>
  <si>
    <t>CONSTANTIN LUCIA</t>
  </si>
  <si>
    <t>04.10.2025</t>
  </si>
  <si>
    <t>VASILIAN NICOLAI</t>
  </si>
  <si>
    <t>BK nr. 010934</t>
  </si>
  <si>
    <t>20.04.2026</t>
  </si>
  <si>
    <t>București, Sec. 6, Str. Lacul Zănoaga, nr.31, bl. M7, sc.A, et.2,ap.12</t>
  </si>
  <si>
    <t>CORNIENCO ANA-MARIA</t>
  </si>
  <si>
    <t>IF nr. 908220</t>
  </si>
  <si>
    <t>Ilfov, Sat. Clinceni (Com. Clinceni), Str. Ciocârliei, nr.29D</t>
  </si>
  <si>
    <t>0726477664</t>
  </si>
  <si>
    <t>27.04.2026</t>
  </si>
  <si>
    <t>04.05.2026</t>
  </si>
  <si>
    <t>CHIVU NICULINA</t>
  </si>
  <si>
    <t>RD nr. 958542</t>
  </si>
  <si>
    <t>02.05.2026</t>
  </si>
  <si>
    <t>București, Sec. 5, Str. Valea Poenii, nr.13</t>
  </si>
  <si>
    <t>Nr.1765/03.06.20252, 12 luni, grav cu asistent personal</t>
  </si>
  <si>
    <t>06.05.2026</t>
  </si>
  <si>
    <t>BG nr. 585939</t>
  </si>
  <si>
    <t>București, Sec. 6, Str. Drumul Taberei, nr.57, bl. R4, sc.A, et.7,ap.32</t>
  </si>
  <si>
    <t>MERLICZEK MARIA-DANIELA</t>
  </si>
  <si>
    <t>Nr. AP108583</t>
  </si>
  <si>
    <t>Austria, Hauptstrabe 19/3/3.12344 Maria Enzersdorf Osterreichischer</t>
  </si>
  <si>
    <t>+436602454499</t>
  </si>
  <si>
    <t>IORDAN ILIE</t>
  </si>
  <si>
    <t>RZ nr. 118272</t>
  </si>
  <si>
    <t>12.05.2026</t>
  </si>
  <si>
    <t>București, Sec. 6, Str. Ion Manolescu, nr.2, bl. 129, sc.B, et.8,ap.80</t>
  </si>
  <si>
    <t>IORDAN MARIANA</t>
  </si>
  <si>
    <t>RR nr. 740997</t>
  </si>
  <si>
    <t>0745642094</t>
  </si>
  <si>
    <t>DUMITRU GEORGETA</t>
  </si>
  <si>
    <t>RD nr. 999340</t>
  </si>
  <si>
    <t>21.05.2026</t>
  </si>
  <si>
    <t>București, Sec. 5, Str. Osiris, nr.14</t>
  </si>
  <si>
    <t>DUMITRU DANIEL-DAMIAN</t>
  </si>
  <si>
    <t>RD nr. 999345</t>
  </si>
  <si>
    <t>0763364996; 0767644219; 0767839448</t>
  </si>
  <si>
    <t>22.05.2026</t>
  </si>
  <si>
    <t>DECES ORA 06.45</t>
  </si>
  <si>
    <t>NU ARE</t>
  </si>
  <si>
    <t>ÎN CURS</t>
  </si>
  <si>
    <t>PETRE DUMITRU</t>
  </si>
  <si>
    <t>IF nr. 415070</t>
  </si>
  <si>
    <t>24.05.2026</t>
  </si>
  <si>
    <t>Ilfov, Sat. Mogoșoaia (Comuna Mogoșoaia), Str. Puțul cu Brad, nr.17B</t>
  </si>
  <si>
    <t>DOBRE ELENA</t>
  </si>
  <si>
    <t>IF nr. 819562</t>
  </si>
  <si>
    <t>Ilfov, Sat. Mogoșoaia (Comuna Mogoșoaia), Str. Toamnei, nr.6</t>
  </si>
  <si>
    <t>DINU FRUSINA</t>
  </si>
  <si>
    <t>CONDRAT CONSTANTIN</t>
  </si>
  <si>
    <t>RX nr. 401576</t>
  </si>
  <si>
    <t>27.05.2026</t>
  </si>
  <si>
    <t>București, Sec. 3, Str. So0ld. Petre Mm. Tină, nr.5, bl. L41, sc.1, et.10,ap.37</t>
  </si>
  <si>
    <t>BUJGOI VALENTINA-FLORENTINA</t>
  </si>
  <si>
    <t>RZ nr. 295625</t>
  </si>
  <si>
    <t>București, Sec. 3, Dr. Gura Putnei, nr.143, ap.1</t>
  </si>
  <si>
    <t>0786219865</t>
  </si>
  <si>
    <t>31.05.2026</t>
  </si>
  <si>
    <t>02.06.2026</t>
  </si>
  <si>
    <t>GRIGORE VICTORIA</t>
  </si>
  <si>
    <t>RD nr. 548727</t>
  </si>
  <si>
    <t>04.06.2026</t>
  </si>
  <si>
    <t>București, Sec. 5, Str. Cap.Ivan Anghelache, nr.8, bl. M21, sc.1, et.6,ap.40</t>
  </si>
  <si>
    <t>GRIGORE NICUȘOR-BOGDAN</t>
  </si>
  <si>
    <t>ROU 061648179</t>
  </si>
  <si>
    <t>București</t>
  </si>
  <si>
    <t>+447724488516</t>
  </si>
  <si>
    <t>EFTIMIE MIHAI</t>
  </si>
  <si>
    <t>RD nr.806106</t>
  </si>
  <si>
    <t>31.01.2026</t>
  </si>
  <si>
    <t>București, Sector 6, Str. Cap.Petre Mișcă, nr.5, bl. M18, sc.1, et.1, ap.9</t>
  </si>
  <si>
    <t>07.06.2026</t>
  </si>
  <si>
    <t>MOCĂNAȘU VASILE</t>
  </si>
  <si>
    <t>IF nr. 518760</t>
  </si>
  <si>
    <t>05.03.2025</t>
  </si>
  <si>
    <t>Județul Ilfov, Oraș Măgurele, Str.Atomiștilor, nr.1, bl.2, sc.1, ap.2</t>
  </si>
  <si>
    <t>MOCĂNAȘU ION (TUDORACHE IONUȚ)</t>
  </si>
  <si>
    <t>IONIȚĂ LENUȚA</t>
  </si>
  <si>
    <t>PR nr. 312630</t>
  </si>
  <si>
    <t>16.07.2024</t>
  </si>
  <si>
    <t>BUCUREȘTI, Sect. 2, str. Int. Țiglelor, nr. 18</t>
  </si>
  <si>
    <t>IONIȚĂ CARMEN-ELISABETA</t>
  </si>
  <si>
    <t>RZ nr. 234555</t>
  </si>
  <si>
    <t>Mun. București, Sect. 2, str. Int. Țiglelor, nr. 18</t>
  </si>
  <si>
    <t>0773706437</t>
  </si>
  <si>
    <t>ÎNSCRIS/NEÎNSCRIS</t>
  </si>
  <si>
    <t>NEÎNSCRIS</t>
  </si>
  <si>
    <t>ÎNSCRIS</t>
  </si>
  <si>
    <t xml:space="preserve">MANOLACHE PETRE </t>
  </si>
  <si>
    <t>RK nr.251149</t>
  </si>
  <si>
    <t>13.03.2025</t>
  </si>
  <si>
    <t>BUCUREȘTI sec 5,str. Baciului, nr.14,bl.9,sc.2,et.3,ap.34</t>
  </si>
  <si>
    <t>MANOLACHE IONUȚ-CRISTINEL</t>
  </si>
  <si>
    <t>RK nr.616042</t>
  </si>
  <si>
    <t>BUCUREȘTI sec 5.str BACIULUI.nr.14.bl.9.sc.2.et.3.ap.34</t>
  </si>
  <si>
    <t>DECES ORA 14.20</t>
  </si>
  <si>
    <t>19.06.2026</t>
  </si>
  <si>
    <t>23.06.2026</t>
  </si>
  <si>
    <t>BALAN  NECULAI, TULEA ELENA</t>
  </si>
  <si>
    <t>1730322372242, 2930412134144</t>
  </si>
  <si>
    <t>RK nr. 908220 RK nr.156617</t>
  </si>
  <si>
    <t>București, Sec. 5, Str. Valea Poenii, nr.13, București, Sector 5, Str. Valea Poenii, nr.13</t>
  </si>
  <si>
    <t>0735326173, +44750030319+393891345469</t>
  </si>
  <si>
    <t>25.06.2026</t>
  </si>
  <si>
    <t>LĂCĂTUȘ DORIN</t>
  </si>
  <si>
    <t>XZ nr. 656037</t>
  </si>
  <si>
    <t>29.06.2026</t>
  </si>
  <si>
    <t>Buzău, Oraș Pătârlaele, Str. A.I.Cuza, nr.26</t>
  </si>
  <si>
    <t>RĂDUȚ ALINA</t>
  </si>
  <si>
    <t>IF nr. 494660</t>
  </si>
  <si>
    <t>Ilfov, Sat. Dîrvari (Com. Cioroîrla), Str. Alexandru Ioan Cuza, nr.11k</t>
  </si>
  <si>
    <t>TĂNASE FLORICA</t>
  </si>
  <si>
    <t>RK nr. 475991</t>
  </si>
  <si>
    <t>București, Sec. 6, Str. Ceahlăul, nr.23, bl. 66, sc.B, ap.60</t>
  </si>
  <si>
    <t>EFTIMIE ION</t>
  </si>
  <si>
    <t>IF nr. 710111</t>
  </si>
  <si>
    <t>Ilfov, Sat. Mogoșoaia (Com. Mogoșoaia), Str. Puțul cu Brad,  nr.28</t>
  </si>
  <si>
    <t>07239945446</t>
  </si>
  <si>
    <t>30.06.2026</t>
  </si>
  <si>
    <t>299.06.2026</t>
  </si>
  <si>
    <t>BÎRSĂNEANU ELENA</t>
  </si>
  <si>
    <t>RR nr. 477020</t>
  </si>
  <si>
    <t>București, Sec. 6, Ale. Poiana Muntelui, nr.2, bl. OD3, sc.2, et.5, ap.61</t>
  </si>
  <si>
    <t>BÎRSĂNEANU SORIN</t>
  </si>
  <si>
    <t>MB1021030</t>
  </si>
  <si>
    <t>București, Sector 6, Str. Sibiu, nr.10, bl. OS1, sc.D, et.7, ap.150</t>
  </si>
  <si>
    <t>0760690690</t>
  </si>
  <si>
    <t xml:space="preserve">Nr.1323/15.04.2026, 12 luni, grav </t>
  </si>
  <si>
    <t>0733555408; 0733555444</t>
  </si>
  <si>
    <t>ȘERBĂNESCU DOINA</t>
  </si>
  <si>
    <t>RK nr. 723918</t>
  </si>
  <si>
    <t>IF050446</t>
  </si>
  <si>
    <t>Ilfov, Sat. Vârteju (Oraș Măgurele),Str. Pinului, nr.22</t>
  </si>
  <si>
    <t>02.07.2026</t>
  </si>
  <si>
    <t>CURELEA OLIMPIA</t>
  </si>
  <si>
    <t>IF nr. 744508</t>
  </si>
  <si>
    <t>BARBU FLOAREA</t>
  </si>
  <si>
    <t>CONSTANTIN IONUȚ</t>
  </si>
  <si>
    <t>0763166699</t>
  </si>
  <si>
    <t>Prahova,Com. Poenarii Burchi</t>
  </si>
  <si>
    <t>DA nr. 668917</t>
  </si>
  <si>
    <t>03.07.2026</t>
  </si>
  <si>
    <t>RZ nr. 550440</t>
  </si>
  <si>
    <t>București, Sector 4, Str. Giurgiului, nr.107, bl. G, sc.3, et.4, ap.89</t>
  </si>
  <si>
    <t>03.07.2027</t>
  </si>
  <si>
    <t>07.07.2028</t>
  </si>
  <si>
    <t>RD nr. 512962</t>
  </si>
  <si>
    <t>08.07.2026</t>
  </si>
  <si>
    <t>București, Sec. 5, Str. Sălaj, nr.259, bl.4B, sc.1,et.1, ap.7</t>
  </si>
  <si>
    <t>PÎRVAN LUCIAN</t>
  </si>
  <si>
    <t>MB1011982</t>
  </si>
  <si>
    <t>București, Sec. 5, Str. Drumul Vulturești,  nr.6</t>
  </si>
  <si>
    <t>0753037704</t>
  </si>
  <si>
    <t>16.07.2026</t>
  </si>
  <si>
    <t>16.07.2027</t>
  </si>
  <si>
    <t>BOJIN MARIA</t>
  </si>
  <si>
    <t>BX nr. 413944</t>
  </si>
  <si>
    <t>17.07.2026</t>
  </si>
  <si>
    <t>București circa 21 sectorul 6 , cu domiciliul în Mun. București, Sec. 6, Str. Aleea Parva, nr.1, bl.A21, sc.C,et.3, ap.42</t>
  </si>
  <si>
    <t>NISTOR ȘTEFAN-LUCIAN</t>
  </si>
  <si>
    <t>RZ nr. 487097</t>
  </si>
  <si>
    <t>București, Sec. 6, Str. Ale.Câmpul cu Flori,  nr.1, bl.OD2, sc.D, ap.144</t>
  </si>
  <si>
    <t>0720072925</t>
  </si>
  <si>
    <t>RADIAN DANIEL-TRAIAN</t>
  </si>
  <si>
    <t>IF nr. 65314</t>
  </si>
  <si>
    <t>221.07.2026</t>
  </si>
  <si>
    <t>CRISTEA ANGELA-CLAUDIA-CRISTINA</t>
  </si>
  <si>
    <t>IF nr.10289954</t>
  </si>
  <si>
    <t>Mun. București, Sector 4, Str. Ghimpați, nr.23, bl. 2, sc.5, ap.130</t>
  </si>
  <si>
    <t>0727848069</t>
  </si>
  <si>
    <t>Ilfov, Sat. Dudu ( Com. Chiajna), Str. Tineretului, nr.79, et.1, ap.11</t>
  </si>
  <si>
    <t>24.07.2026</t>
  </si>
  <si>
    <t>TRANSFER BRAGADIRU</t>
  </si>
  <si>
    <t>TRANSFER CETINEI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</si>
</sst>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\ mmm\ yyyy"/>
  </numFmts>
  <fonts count="15">
    <font>
      <sz val="11"/>
      <color theme="1"/>
      <name val="Calibri"/>
      <charset val="134"/>
      <scheme val="minor"/>
    </font>
    <font>
      <b/>
      <sz val="11"/>
      <color theme="1"/>
      <name val="Cambria"/>
      <family val="1"/>
    </font>
    <font>
      <b/>
      <sz val="11"/>
      <name val="Cambria"/>
      <family val="1"/>
    </font>
    <font>
      <sz val="11"/>
      <color theme="1"/>
      <name val="Cambria"/>
      <family val="1"/>
    </font>
    <font>
      <b/>
      <sz val="10"/>
      <color theme="1"/>
      <name val="Cambria"/>
      <family val="1"/>
    </font>
    <font>
      <b/>
      <sz val="10"/>
      <name val="Cambria"/>
      <family val="1"/>
    </font>
    <font>
      <sz val="10"/>
      <color theme="1"/>
      <name val="Cambria"/>
      <family val="1"/>
    </font>
    <font>
      <sz val="10"/>
      <name val="Cambria"/>
      <family val="1"/>
    </font>
    <font>
      <sz val="10"/>
      <color rgb="FF000000"/>
      <name val="Cambria"/>
      <family val="1"/>
    </font>
    <font>
      <b/>
      <sz val="11"/>
      <color rgb="FFFF0000"/>
      <name val="Cambria"/>
      <family val="1"/>
    </font>
    <font>
      <sz val="11"/>
      <name val="Cambria"/>
      <family val="1"/>
    </font>
    <font>
      <b/>
      <sz val="10"/>
      <color rgb="FFFF0000"/>
      <name val="Cambria"/>
      <family val="1"/>
    </font>
    <font>
      <sz val="11"/>
      <color rgb="FF000000"/>
      <name val="Cambria"/>
      <family val="1"/>
    </font>
    <font>
      <sz val="8"/>
      <name val="Calibri"/>
      <charset val="134"/>
      <scheme val="minor"/>
    </font>
    <font>
      <sz val="10"/>
      <color rgb="FFFF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3" fillId="0" borderId="1" xfId="0" applyFont="1" applyBorder="1"/>
    <xf numFmtId="0" fontId="1" fillId="0" borderId="0" xfId="0" applyFont="1"/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left"/>
    </xf>
    <xf numFmtId="0" fontId="3" fillId="0" borderId="0" xfId="0" applyFont="1"/>
    <xf numFmtId="1" fontId="3" fillId="0" borderId="0" xfId="0" applyNumberFormat="1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2" borderId="0" xfId="0" applyFont="1" applyFill="1"/>
    <xf numFmtId="164" fontId="3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5" fillId="0" borderId="1" xfId="0" applyFont="1" applyBorder="1"/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top"/>
    </xf>
    <xf numFmtId="0" fontId="6" fillId="0" borderId="0" xfId="0" applyFont="1"/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14" fontId="6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/>
    <xf numFmtId="164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4" fillId="4" borderId="1" xfId="0" applyFont="1" applyFill="1" applyBorder="1"/>
    <xf numFmtId="1" fontId="6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  <xf numFmtId="1" fontId="7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4" borderId="1" xfId="0" applyFont="1" applyFill="1" applyBorder="1"/>
    <xf numFmtId="0" fontId="3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/>
    <xf numFmtId="1" fontId="4" fillId="2" borderId="2" xfId="0" applyNumberFormat="1" applyFont="1" applyFill="1" applyBorder="1" applyAlignment="1">
      <alignment horizontal="left"/>
    </xf>
    <xf numFmtId="0" fontId="4" fillId="2" borderId="4" xfId="0" applyFont="1" applyFill="1" applyBorder="1"/>
    <xf numFmtId="0" fontId="4" fillId="2" borderId="5" xfId="0" applyFont="1" applyFill="1" applyBorder="1"/>
    <xf numFmtId="0" fontId="6" fillId="2" borderId="2" xfId="0" applyFont="1" applyFill="1" applyBorder="1"/>
    <xf numFmtId="16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5" fontId="1" fillId="2" borderId="7" xfId="0" applyNumberFormat="1" applyFont="1" applyFill="1" applyBorder="1" applyAlignment="1">
      <alignment horizontal="center"/>
    </xf>
    <xf numFmtId="1" fontId="1" fillId="2" borderId="7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7" xfId="0" applyFont="1" applyFill="1" applyBorder="1"/>
    <xf numFmtId="0" fontId="9" fillId="2" borderId="7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1" fontId="5" fillId="0" borderId="1" xfId="0" applyNumberFormat="1" applyFont="1" applyBorder="1" applyAlignment="1">
      <alignment horizontal="left"/>
    </xf>
    <xf numFmtId="2" fontId="4" fillId="0" borderId="1" xfId="0" applyNumberFormat="1" applyFont="1" applyBorder="1"/>
    <xf numFmtId="1" fontId="6" fillId="0" borderId="1" xfId="0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 vertical="top"/>
    </xf>
    <xf numFmtId="1" fontId="7" fillId="4" borderId="1" xfId="0" applyNumberFormat="1" applyFont="1" applyFill="1" applyBorder="1" applyAlignment="1">
      <alignment horizontal="center" vertical="top"/>
    </xf>
    <xf numFmtId="165" fontId="6" fillId="0" borderId="1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left"/>
    </xf>
    <xf numFmtId="0" fontId="4" fillId="4" borderId="0" xfId="0" applyFont="1" applyFill="1" applyAlignment="1">
      <alignment horizontal="center" vertical="top"/>
    </xf>
    <xf numFmtId="164" fontId="6" fillId="4" borderId="0" xfId="0" applyNumberFormat="1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6" fillId="4" borderId="0" xfId="0" applyFont="1" applyFill="1"/>
    <xf numFmtId="0" fontId="4" fillId="4" borderId="0" xfId="0" applyFont="1" applyFill="1"/>
    <xf numFmtId="1" fontId="6" fillId="4" borderId="0" xfId="0" applyNumberFormat="1" applyFont="1" applyFill="1" applyAlignment="1">
      <alignment horizontal="left"/>
    </xf>
    <xf numFmtId="1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4" borderId="0" xfId="0" applyFont="1" applyFill="1"/>
    <xf numFmtId="165" fontId="6" fillId="0" borderId="0" xfId="0" applyNumberFormat="1" applyFont="1" applyAlignment="1">
      <alignment horizontal="left"/>
    </xf>
    <xf numFmtId="165" fontId="6" fillId="0" borderId="0" xfId="0" applyNumberFormat="1" applyFont="1" applyAlignment="1">
      <alignment horizontal="center"/>
    </xf>
    <xf numFmtId="0" fontId="3" fillId="2" borderId="6" xfId="0" applyFont="1" applyFill="1" applyBorder="1"/>
    <xf numFmtId="0" fontId="6" fillId="2" borderId="1" xfId="0" applyFont="1" applyFill="1" applyBorder="1"/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65" fontId="6" fillId="0" borderId="7" xfId="0" applyNumberFormat="1" applyFont="1" applyBorder="1" applyAlignment="1">
      <alignment horizontal="center"/>
    </xf>
    <xf numFmtId="0" fontId="6" fillId="0" borderId="7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0" fontId="2" fillId="4" borderId="0" xfId="0" applyFont="1" applyFill="1"/>
    <xf numFmtId="0" fontId="2" fillId="3" borderId="0" xfId="0" applyFont="1" applyFill="1"/>
    <xf numFmtId="1" fontId="7" fillId="0" borderId="1" xfId="0" applyNumberFormat="1" applyFont="1" applyBorder="1" applyAlignment="1">
      <alignment horizontal="left"/>
    </xf>
    <xf numFmtId="0" fontId="11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left"/>
    </xf>
    <xf numFmtId="164" fontId="7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wrapText="1"/>
    </xf>
    <xf numFmtId="1" fontId="7" fillId="4" borderId="1" xfId="0" applyNumberFormat="1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vertical="top"/>
    </xf>
    <xf numFmtId="165" fontId="7" fillId="4" borderId="1" xfId="0" applyNumberFormat="1" applyFont="1" applyFill="1" applyBorder="1" applyAlignment="1">
      <alignment horizontal="left"/>
    </xf>
    <xf numFmtId="1" fontId="5" fillId="4" borderId="1" xfId="0" applyNumberFormat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1" xfId="0" applyFont="1" applyBorder="1"/>
    <xf numFmtId="0" fontId="10" fillId="0" borderId="1" xfId="0" quotePrefix="1" applyFont="1" applyBorder="1" applyAlignment="1">
      <alignment horizontal="left"/>
    </xf>
    <xf numFmtId="0" fontId="4" fillId="0" borderId="0" xfId="0" applyFont="1" applyAlignment="1">
      <alignment horizontal="left"/>
    </xf>
    <xf numFmtId="1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49" fontId="6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1" fillId="0" borderId="0" xfId="0" applyFont="1"/>
    <xf numFmtId="0" fontId="5" fillId="0" borderId="3" xfId="0" applyFont="1" applyBorder="1"/>
    <xf numFmtId="0" fontId="6" fillId="4" borderId="1" xfId="0" applyFont="1" applyFill="1" applyBorder="1" applyAlignment="1">
      <alignment horizontal="right"/>
    </xf>
    <xf numFmtId="0" fontId="4" fillId="0" borderId="7" xfId="0" applyFont="1" applyBorder="1" applyAlignment="1">
      <alignment horizontal="left"/>
    </xf>
    <xf numFmtId="0" fontId="4" fillId="0" borderId="7" xfId="0" applyFont="1" applyBorder="1"/>
    <xf numFmtId="0" fontId="11" fillId="0" borderId="7" xfId="0" applyFont="1" applyBorder="1"/>
    <xf numFmtId="1" fontId="5" fillId="4" borderId="1" xfId="0" applyNumberFormat="1" applyFont="1" applyFill="1" applyBorder="1"/>
    <xf numFmtId="0" fontId="5" fillId="0" borderId="0" xfId="0" applyFont="1"/>
    <xf numFmtId="0" fontId="4" fillId="0" borderId="7" xfId="0" applyFont="1" applyBorder="1" applyAlignment="1">
      <alignment horizontal="center"/>
    </xf>
    <xf numFmtId="14" fontId="6" fillId="0" borderId="7" xfId="0" applyNumberFormat="1" applyFont="1" applyBorder="1" applyAlignment="1">
      <alignment horizontal="center"/>
    </xf>
    <xf numFmtId="1" fontId="6" fillId="4" borderId="1" xfId="0" applyNumberFormat="1" applyFont="1" applyFill="1" applyBorder="1"/>
    <xf numFmtId="0" fontId="6" fillId="0" borderId="7" xfId="0" applyFont="1" applyBorder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99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M79"/>
  <sheetViews>
    <sheetView tabSelected="1" zoomScale="90" zoomScaleNormal="90" workbookViewId="0">
      <selection activeCell="B3" sqref="B3:H40"/>
    </sheetView>
  </sheetViews>
  <sheetFormatPr defaultColWidth="22.109375" defaultRowHeight="19.350000000000001" customHeight="1"/>
  <cols>
    <col min="1" max="1" width="5.88671875" style="2" customWidth="1"/>
    <col min="2" max="2" width="24.6640625" style="25" customWidth="1"/>
    <col min="3" max="3" width="16.6640625" style="9" customWidth="1"/>
    <col min="4" max="4" width="6.88671875" style="3" customWidth="1"/>
    <col min="5" max="5" width="13.33203125" style="4" customWidth="1"/>
    <col min="6" max="6" width="14.44140625" style="5" customWidth="1"/>
    <col min="7" max="7" width="10.109375" style="5" customWidth="1"/>
    <col min="8" max="8" width="13.5546875" style="5" customWidth="1"/>
    <col min="9" max="9" width="43.77734375" style="5" customWidth="1"/>
    <col min="10" max="10" width="33.6640625" style="2" customWidth="1"/>
    <col min="11" max="11" width="17.21875" style="6" customWidth="1"/>
    <col min="12" max="12" width="14.33203125" style="5" customWidth="1"/>
    <col min="13" max="13" width="42.44140625" style="5" customWidth="1"/>
    <col min="14" max="14" width="19.44140625" style="5" customWidth="1"/>
    <col min="15" max="15" width="16.77734375" style="5" customWidth="1"/>
    <col min="16" max="16" width="31.109375" style="5" customWidth="1"/>
    <col min="17" max="16384" width="22.109375" style="5"/>
  </cols>
  <sheetData>
    <row r="1" spans="1:62" ht="19.350000000000001" customHeight="1">
      <c r="A1" s="11" t="s">
        <v>28</v>
      </c>
      <c r="B1" s="24" t="s">
        <v>0</v>
      </c>
      <c r="C1" s="10" t="s">
        <v>1</v>
      </c>
      <c r="D1" s="7" t="s">
        <v>2</v>
      </c>
      <c r="E1" s="12" t="s">
        <v>3</v>
      </c>
      <c r="F1" s="7" t="s">
        <v>13</v>
      </c>
      <c r="G1" s="7" t="s">
        <v>26</v>
      </c>
      <c r="H1" s="7" t="s">
        <v>19</v>
      </c>
      <c r="I1" s="7" t="s">
        <v>27</v>
      </c>
      <c r="J1" s="7" t="s">
        <v>0</v>
      </c>
      <c r="K1" s="13" t="s">
        <v>1</v>
      </c>
      <c r="L1" s="7" t="s">
        <v>13</v>
      </c>
      <c r="M1" s="7" t="s">
        <v>27</v>
      </c>
      <c r="N1" s="23" t="s">
        <v>29</v>
      </c>
      <c r="O1" s="38" t="s">
        <v>485</v>
      </c>
      <c r="P1" s="7" t="s">
        <v>40</v>
      </c>
      <c r="Q1" s="23" t="s">
        <v>41</v>
      </c>
    </row>
    <row r="2" spans="1:62" ht="19.350000000000001" customHeight="1">
      <c r="A2" s="14"/>
      <c r="B2" s="68"/>
      <c r="C2" s="62"/>
      <c r="D2" s="63"/>
      <c r="E2" s="64"/>
      <c r="F2" s="63"/>
      <c r="G2" s="63"/>
      <c r="H2" s="63"/>
      <c r="I2" s="63"/>
      <c r="J2" s="63"/>
      <c r="K2" s="65"/>
      <c r="L2" s="63"/>
      <c r="M2" s="63"/>
      <c r="N2" s="66"/>
      <c r="O2" s="67"/>
      <c r="P2" s="67"/>
      <c r="Q2" s="105"/>
    </row>
    <row r="3" spans="1:62" ht="19.350000000000001" customHeight="1">
      <c r="A3" s="21">
        <v>1</v>
      </c>
      <c r="B3" s="43" t="s">
        <v>203</v>
      </c>
      <c r="C3" s="74">
        <v>2531102400762</v>
      </c>
      <c r="D3" s="16">
        <f t="shared" ref="D3" ca="1" si="0">DATEDIF(DATE(MID(C3,2,2),MID(C3,4,2),MID(C3,6,2)),TODAY(),"y")</f>
        <v>72</v>
      </c>
      <c r="E3" s="76">
        <f t="shared" ref="E3" si="1">DATE(IF(LEFT(C3,1)*1&lt;=2,MID(C3,2,2),MID(C3,2,2)+100),MID(C3,4,2),MID(C3,6,2))</f>
        <v>19665</v>
      </c>
      <c r="F3" s="19" t="s">
        <v>204</v>
      </c>
      <c r="G3" s="116">
        <v>458</v>
      </c>
      <c r="H3" s="26" t="s">
        <v>327</v>
      </c>
      <c r="I3" s="19" t="s">
        <v>205</v>
      </c>
      <c r="J3" s="20" t="s">
        <v>206</v>
      </c>
      <c r="K3" s="16">
        <v>2770720472515</v>
      </c>
      <c r="L3" s="19" t="s">
        <v>207</v>
      </c>
      <c r="M3" s="18" t="s">
        <v>205</v>
      </c>
      <c r="N3" s="42">
        <v>728124743</v>
      </c>
      <c r="O3" s="161" t="s">
        <v>487</v>
      </c>
      <c r="P3" s="18" t="s">
        <v>231</v>
      </c>
      <c r="Q3" s="18" t="s">
        <v>174</v>
      </c>
    </row>
    <row r="4" spans="1:62" ht="19.350000000000001" customHeight="1">
      <c r="A4" s="21">
        <v>2</v>
      </c>
      <c r="B4" s="43" t="s">
        <v>154</v>
      </c>
      <c r="C4" s="72">
        <v>2440928040736</v>
      </c>
      <c r="D4" s="16">
        <f t="shared" ref="D4:D40" ca="1" si="2">DATEDIF(DATE(MID(C4,2,2),MID(C4,4,2),MID(C4,6,2)),TODAY(),"y")</f>
        <v>81</v>
      </c>
      <c r="E4" s="76">
        <f t="shared" ref="E4:E40" si="3">DATE(IF(LEFT(C4,1)*1&lt;=2,MID(C4,2,2),MID(C4,2,2)+100),MID(C4,4,2),MID(C4,6,2))</f>
        <v>16343</v>
      </c>
      <c r="F4" s="19" t="s">
        <v>70</v>
      </c>
      <c r="G4" s="116">
        <v>161</v>
      </c>
      <c r="H4" s="26" t="s">
        <v>326</v>
      </c>
      <c r="I4" s="19" t="s">
        <v>71</v>
      </c>
      <c r="J4" s="20" t="s">
        <v>72</v>
      </c>
      <c r="K4" s="16">
        <v>1770215047395</v>
      </c>
      <c r="L4" s="19" t="s">
        <v>73</v>
      </c>
      <c r="M4" s="18" t="s">
        <v>74</v>
      </c>
      <c r="N4" s="44" t="s">
        <v>75</v>
      </c>
      <c r="O4" s="162" t="s">
        <v>486</v>
      </c>
      <c r="P4" s="124" t="s">
        <v>439</v>
      </c>
      <c r="Q4" s="18"/>
    </row>
    <row r="5" spans="1:62" ht="19.350000000000001" customHeight="1">
      <c r="A5" s="21">
        <v>3</v>
      </c>
      <c r="B5" s="43" t="s">
        <v>536</v>
      </c>
      <c r="C5" s="73">
        <v>2500126293121</v>
      </c>
      <c r="D5" s="16">
        <f t="shared" ca="1" si="2"/>
        <v>76</v>
      </c>
      <c r="E5" s="76">
        <f t="shared" si="3"/>
        <v>18289</v>
      </c>
      <c r="F5" s="46" t="s">
        <v>540</v>
      </c>
      <c r="G5" s="117">
        <v>327</v>
      </c>
      <c r="H5" s="49" t="s">
        <v>541</v>
      </c>
      <c r="I5" s="19" t="s">
        <v>539</v>
      </c>
      <c r="J5" s="20" t="s">
        <v>537</v>
      </c>
      <c r="K5" s="16">
        <v>1880729297306</v>
      </c>
      <c r="L5" s="19" t="s">
        <v>542</v>
      </c>
      <c r="M5" s="18" t="s">
        <v>543</v>
      </c>
      <c r="N5" s="44" t="s">
        <v>538</v>
      </c>
      <c r="O5" s="161"/>
      <c r="P5" s="124" t="s">
        <v>439</v>
      </c>
      <c r="Q5" s="1"/>
    </row>
    <row r="6" spans="1:62" ht="19.350000000000001" customHeight="1">
      <c r="A6" s="21">
        <v>4</v>
      </c>
      <c r="B6" s="43" t="s">
        <v>50</v>
      </c>
      <c r="C6" s="73">
        <v>2490826340010</v>
      </c>
      <c r="D6" s="16">
        <f t="shared" ca="1" si="2"/>
        <v>76</v>
      </c>
      <c r="E6" s="76">
        <f t="shared" si="3"/>
        <v>18136</v>
      </c>
      <c r="F6" s="46" t="s">
        <v>22</v>
      </c>
      <c r="G6" s="117">
        <v>29</v>
      </c>
      <c r="H6" s="46" t="s">
        <v>274</v>
      </c>
      <c r="I6" s="19" t="s">
        <v>23</v>
      </c>
      <c r="J6" s="43" t="s">
        <v>69</v>
      </c>
      <c r="K6" s="16">
        <v>1760705340032</v>
      </c>
      <c r="L6" s="19" t="s">
        <v>215</v>
      </c>
      <c r="M6" s="42" t="s">
        <v>24</v>
      </c>
      <c r="N6" s="44" t="s">
        <v>36</v>
      </c>
      <c r="O6" s="161" t="s">
        <v>487</v>
      </c>
      <c r="P6" s="18" t="s">
        <v>232</v>
      </c>
      <c r="Q6" s="18" t="s">
        <v>174</v>
      </c>
    </row>
    <row r="7" spans="1:62" s="122" customFormat="1" ht="19.350000000000001" customHeight="1">
      <c r="A7" s="21">
        <v>5</v>
      </c>
      <c r="B7" s="43" t="s">
        <v>520</v>
      </c>
      <c r="C7" s="73">
        <v>2410618400021</v>
      </c>
      <c r="D7" s="16">
        <f t="shared" ca="1" si="2"/>
        <v>85</v>
      </c>
      <c r="E7" s="76">
        <f t="shared" si="3"/>
        <v>15145</v>
      </c>
      <c r="F7" s="46" t="s">
        <v>521</v>
      </c>
      <c r="G7" s="117">
        <v>309</v>
      </c>
      <c r="H7" s="49" t="s">
        <v>519</v>
      </c>
      <c r="I7" s="19" t="s">
        <v>522</v>
      </c>
      <c r="J7" s="20" t="s">
        <v>523</v>
      </c>
      <c r="K7" s="16">
        <v>1681213463056</v>
      </c>
      <c r="L7" s="19" t="s">
        <v>524</v>
      </c>
      <c r="M7" s="18" t="s">
        <v>525</v>
      </c>
      <c r="N7" s="44" t="s">
        <v>526</v>
      </c>
      <c r="O7" s="161" t="s">
        <v>487</v>
      </c>
      <c r="P7" s="18" t="s">
        <v>527</v>
      </c>
      <c r="Q7" s="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</row>
    <row r="8" spans="1:62" ht="43.2" customHeight="1">
      <c r="A8" s="21">
        <v>6</v>
      </c>
      <c r="B8" s="43" t="s">
        <v>555</v>
      </c>
      <c r="C8" s="73">
        <v>2450119400045</v>
      </c>
      <c r="D8" s="16">
        <f t="shared" ca="1" si="2"/>
        <v>81</v>
      </c>
      <c r="E8" s="76">
        <f t="shared" si="3"/>
        <v>16456</v>
      </c>
      <c r="F8" s="46" t="s">
        <v>556</v>
      </c>
      <c r="G8" s="117">
        <v>367</v>
      </c>
      <c r="H8" s="49" t="s">
        <v>557</v>
      </c>
      <c r="I8" s="19" t="s">
        <v>558</v>
      </c>
      <c r="J8" s="20" t="s">
        <v>559</v>
      </c>
      <c r="K8" s="16">
        <v>1741228463040</v>
      </c>
      <c r="L8" s="19" t="s">
        <v>560</v>
      </c>
      <c r="M8" s="18" t="s">
        <v>561</v>
      </c>
      <c r="N8" s="44" t="s">
        <v>562</v>
      </c>
      <c r="O8" s="162" t="s">
        <v>486</v>
      </c>
      <c r="P8" s="124" t="s">
        <v>439</v>
      </c>
      <c r="Q8" s="1"/>
    </row>
    <row r="9" spans="1:62" ht="19.350000000000001" customHeight="1">
      <c r="A9" s="21">
        <v>7</v>
      </c>
      <c r="B9" s="87" t="s">
        <v>291</v>
      </c>
      <c r="C9" s="33">
        <v>2691113420015</v>
      </c>
      <c r="D9" s="16">
        <f t="shared" ca="1" si="2"/>
        <v>56</v>
      </c>
      <c r="E9" s="76">
        <f t="shared" si="3"/>
        <v>25520</v>
      </c>
      <c r="F9" s="30" t="s">
        <v>292</v>
      </c>
      <c r="G9" s="37">
        <v>42</v>
      </c>
      <c r="H9" s="30" t="s">
        <v>293</v>
      </c>
      <c r="I9" s="19" t="s">
        <v>294</v>
      </c>
      <c r="J9" s="35" t="s">
        <v>295</v>
      </c>
      <c r="K9" s="33">
        <v>2630806400043</v>
      </c>
      <c r="L9" s="33" t="s">
        <v>296</v>
      </c>
      <c r="M9" s="34" t="s">
        <v>297</v>
      </c>
      <c r="N9" s="88">
        <v>766441216</v>
      </c>
      <c r="O9" s="161" t="s">
        <v>487</v>
      </c>
      <c r="P9" s="124" t="s">
        <v>439</v>
      </c>
      <c r="Q9" s="1"/>
    </row>
    <row r="10" spans="1:62" ht="19.2" customHeight="1">
      <c r="A10" s="21">
        <v>8</v>
      </c>
      <c r="B10" s="70" t="s">
        <v>51</v>
      </c>
      <c r="C10" s="73">
        <v>2380701030017</v>
      </c>
      <c r="D10" s="40">
        <f t="shared" ca="1" si="2"/>
        <v>88</v>
      </c>
      <c r="E10" s="119">
        <f t="shared" si="3"/>
        <v>14062</v>
      </c>
      <c r="F10" s="40" t="s">
        <v>76</v>
      </c>
      <c r="G10" s="40">
        <v>272</v>
      </c>
      <c r="H10" s="40" t="s">
        <v>77</v>
      </c>
      <c r="I10" s="40" t="s">
        <v>78</v>
      </c>
      <c r="J10" s="70" t="s">
        <v>79</v>
      </c>
      <c r="K10" s="40">
        <v>1700722030051</v>
      </c>
      <c r="L10" s="40" t="s">
        <v>80</v>
      </c>
      <c r="M10" s="123" t="s">
        <v>81</v>
      </c>
      <c r="N10" s="123" t="s">
        <v>82</v>
      </c>
      <c r="O10" s="162" t="s">
        <v>486</v>
      </c>
      <c r="P10" s="124" t="s">
        <v>439</v>
      </c>
      <c r="Q10" s="15"/>
    </row>
    <row r="11" spans="1:62" ht="19.350000000000001" customHeight="1">
      <c r="A11" s="21">
        <v>9</v>
      </c>
      <c r="B11" s="43" t="s">
        <v>411</v>
      </c>
      <c r="C11" s="73">
        <v>2690104283371</v>
      </c>
      <c r="D11" s="16">
        <f t="shared" ca="1" si="2"/>
        <v>57</v>
      </c>
      <c r="E11" s="76">
        <f t="shared" si="3"/>
        <v>25207</v>
      </c>
      <c r="F11" s="46" t="s">
        <v>412</v>
      </c>
      <c r="G11" s="117">
        <v>186</v>
      </c>
      <c r="H11" s="49" t="s">
        <v>413</v>
      </c>
      <c r="I11" s="19" t="s">
        <v>414</v>
      </c>
      <c r="J11" s="20" t="s">
        <v>498</v>
      </c>
      <c r="K11" s="132" t="s">
        <v>499</v>
      </c>
      <c r="L11" s="131" t="s">
        <v>500</v>
      </c>
      <c r="M11" s="131" t="s">
        <v>501</v>
      </c>
      <c r="N11" s="133" t="s">
        <v>502</v>
      </c>
      <c r="O11" s="161" t="s">
        <v>487</v>
      </c>
      <c r="P11" s="18" t="s">
        <v>415</v>
      </c>
      <c r="Q11" s="1"/>
    </row>
    <row r="12" spans="1:62" ht="19.350000000000001" customHeight="1">
      <c r="A12" s="21">
        <v>10</v>
      </c>
      <c r="B12" s="43" t="s">
        <v>53</v>
      </c>
      <c r="C12" s="73">
        <v>1520707400062</v>
      </c>
      <c r="D12" s="16">
        <f t="shared" ca="1" si="2"/>
        <v>74</v>
      </c>
      <c r="E12" s="76">
        <f t="shared" si="3"/>
        <v>19182</v>
      </c>
      <c r="F12" s="46" t="s">
        <v>89</v>
      </c>
      <c r="G12" s="117">
        <v>115</v>
      </c>
      <c r="H12" s="49" t="s">
        <v>275</v>
      </c>
      <c r="I12" s="19" t="s">
        <v>90</v>
      </c>
      <c r="J12" s="71" t="s">
        <v>91</v>
      </c>
      <c r="K12" s="16">
        <v>2811216384408</v>
      </c>
      <c r="L12" s="19" t="s">
        <v>92</v>
      </c>
      <c r="M12" s="18" t="s">
        <v>93</v>
      </c>
      <c r="N12" s="44" t="s">
        <v>94</v>
      </c>
      <c r="O12" s="161" t="s">
        <v>487</v>
      </c>
      <c r="P12" s="18" t="s">
        <v>233</v>
      </c>
      <c r="Q12" s="18"/>
    </row>
    <row r="13" spans="1:62" s="1" customFormat="1" ht="19.350000000000001" customHeight="1">
      <c r="A13" s="21">
        <v>11</v>
      </c>
      <c r="B13" s="43" t="s">
        <v>399</v>
      </c>
      <c r="C13" s="72">
        <v>2350209422263</v>
      </c>
      <c r="D13" s="16">
        <f t="shared" ca="1" si="2"/>
        <v>91</v>
      </c>
      <c r="E13" s="76">
        <f t="shared" si="3"/>
        <v>12824</v>
      </c>
      <c r="F13" s="19" t="s">
        <v>198</v>
      </c>
      <c r="G13" s="116">
        <v>441</v>
      </c>
      <c r="H13" s="26" t="s">
        <v>328</v>
      </c>
      <c r="I13" s="19" t="s">
        <v>199</v>
      </c>
      <c r="J13" s="20" t="s">
        <v>200</v>
      </c>
      <c r="K13" s="16">
        <v>1650908400186</v>
      </c>
      <c r="L13" s="19" t="s">
        <v>201</v>
      </c>
      <c r="M13" s="18" t="s">
        <v>202</v>
      </c>
      <c r="N13" s="42">
        <v>744580051</v>
      </c>
      <c r="O13" s="161" t="s">
        <v>487</v>
      </c>
      <c r="P13" s="124" t="s">
        <v>439</v>
      </c>
      <c r="Q13" s="18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2" s="1" customFormat="1" ht="19.350000000000001" customHeight="1">
      <c r="A14" s="21">
        <v>12</v>
      </c>
      <c r="B14" s="78" t="s">
        <v>54</v>
      </c>
      <c r="C14" s="75">
        <v>2640730290079</v>
      </c>
      <c r="D14" s="16">
        <f t="shared" ca="1" si="2"/>
        <v>61</v>
      </c>
      <c r="E14" s="76">
        <f t="shared" si="3"/>
        <v>23588</v>
      </c>
      <c r="F14" s="61" t="s">
        <v>95</v>
      </c>
      <c r="G14" s="118">
        <v>19</v>
      </c>
      <c r="H14" s="61" t="s">
        <v>274</v>
      </c>
      <c r="I14" s="30" t="s">
        <v>96</v>
      </c>
      <c r="J14" s="35" t="s">
        <v>97</v>
      </c>
      <c r="K14" s="33">
        <v>2860820297335</v>
      </c>
      <c r="L14" s="30" t="s">
        <v>98</v>
      </c>
      <c r="M14" s="34" t="s">
        <v>96</v>
      </c>
      <c r="N14" s="44" t="s">
        <v>99</v>
      </c>
      <c r="O14" s="161" t="s">
        <v>487</v>
      </c>
      <c r="P14" s="124" t="s">
        <v>439</v>
      </c>
      <c r="Q14" s="18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2" ht="18.75" customHeight="1">
      <c r="A15" s="21">
        <v>13</v>
      </c>
      <c r="B15" s="43" t="s">
        <v>208</v>
      </c>
      <c r="C15" s="74">
        <v>2440309400743</v>
      </c>
      <c r="D15" s="16">
        <f t="shared" ca="1" si="2"/>
        <v>82</v>
      </c>
      <c r="E15" s="76">
        <f t="shared" si="3"/>
        <v>16140</v>
      </c>
      <c r="F15" s="19" t="s">
        <v>209</v>
      </c>
      <c r="G15" s="116">
        <v>453</v>
      </c>
      <c r="H15" s="26" t="s">
        <v>327</v>
      </c>
      <c r="I15" s="19" t="s">
        <v>210</v>
      </c>
      <c r="J15" s="20" t="s">
        <v>211</v>
      </c>
      <c r="K15" s="16">
        <v>1710426463020</v>
      </c>
      <c r="L15" s="19" t="s">
        <v>212</v>
      </c>
      <c r="M15" s="18" t="s">
        <v>213</v>
      </c>
      <c r="N15" s="42">
        <v>721597697</v>
      </c>
      <c r="O15" s="161" t="s">
        <v>487</v>
      </c>
      <c r="P15" s="18" t="s">
        <v>234</v>
      </c>
      <c r="Q15" s="1"/>
    </row>
    <row r="16" spans="1:62" ht="19.350000000000001" customHeight="1">
      <c r="A16" s="21">
        <v>14</v>
      </c>
      <c r="B16" s="15" t="s">
        <v>306</v>
      </c>
      <c r="C16" s="90">
        <v>2481225400874</v>
      </c>
      <c r="D16" s="16">
        <f t="shared" ca="1" si="2"/>
        <v>77</v>
      </c>
      <c r="E16" s="76">
        <f t="shared" si="3"/>
        <v>17892</v>
      </c>
      <c r="F16" s="18" t="s">
        <v>307</v>
      </c>
      <c r="G16" s="116">
        <v>263</v>
      </c>
      <c r="H16" s="19" t="s">
        <v>471</v>
      </c>
      <c r="I16" s="19" t="s">
        <v>308</v>
      </c>
      <c r="J16" s="20" t="s">
        <v>309</v>
      </c>
      <c r="K16" s="16">
        <v>2851006460160</v>
      </c>
      <c r="L16" s="19" t="s">
        <v>310</v>
      </c>
      <c r="M16" s="18" t="s">
        <v>308</v>
      </c>
      <c r="N16" s="42">
        <v>746478823</v>
      </c>
      <c r="O16" s="161" t="s">
        <v>487</v>
      </c>
      <c r="P16" s="124" t="s">
        <v>439</v>
      </c>
      <c r="Q16" s="1"/>
    </row>
    <row r="17" spans="1:65" ht="19.350000000000001" customHeight="1">
      <c r="A17" s="21">
        <v>15</v>
      </c>
      <c r="B17" s="43" t="s">
        <v>459</v>
      </c>
      <c r="C17" s="73">
        <v>2460924400482</v>
      </c>
      <c r="D17" s="16">
        <f t="shared" ca="1" si="2"/>
        <v>79</v>
      </c>
      <c r="E17" s="76">
        <f t="shared" si="3"/>
        <v>17069</v>
      </c>
      <c r="F17" s="46" t="s">
        <v>460</v>
      </c>
      <c r="G17" s="117">
        <v>257</v>
      </c>
      <c r="H17" s="49" t="s">
        <v>461</v>
      </c>
      <c r="I17" s="19" t="s">
        <v>462</v>
      </c>
      <c r="J17" s="20" t="s">
        <v>463</v>
      </c>
      <c r="K17" s="16">
        <v>18306114450061</v>
      </c>
      <c r="L17" s="19" t="s">
        <v>464</v>
      </c>
      <c r="M17" s="18" t="s">
        <v>465</v>
      </c>
      <c r="N17" s="44" t="s">
        <v>466</v>
      </c>
      <c r="O17" s="162" t="s">
        <v>486</v>
      </c>
      <c r="P17" s="124" t="s">
        <v>439</v>
      </c>
      <c r="Q17" s="18"/>
    </row>
    <row r="18" spans="1:65" ht="19.350000000000001" customHeight="1">
      <c r="A18" s="21">
        <v>16</v>
      </c>
      <c r="B18" s="150" t="s">
        <v>477</v>
      </c>
      <c r="C18" s="127">
        <v>2560908400550</v>
      </c>
      <c r="D18" s="40">
        <f t="shared" ca="1" si="2"/>
        <v>69</v>
      </c>
      <c r="E18" s="91">
        <f t="shared" si="3"/>
        <v>20706</v>
      </c>
      <c r="F18" s="45" t="s">
        <v>478</v>
      </c>
      <c r="G18" s="117">
        <v>282</v>
      </c>
      <c r="H18" s="46" t="s">
        <v>479</v>
      </c>
      <c r="I18" s="19" t="s">
        <v>480</v>
      </c>
      <c r="J18" s="20" t="s">
        <v>481</v>
      </c>
      <c r="K18" s="90">
        <v>2910918420071</v>
      </c>
      <c r="L18" s="18" t="s">
        <v>482</v>
      </c>
      <c r="M18" s="18" t="s">
        <v>483</v>
      </c>
      <c r="N18" s="18" t="s">
        <v>484</v>
      </c>
      <c r="O18" s="161" t="s">
        <v>487</v>
      </c>
      <c r="P18" s="128" t="s">
        <v>439</v>
      </c>
      <c r="Q18" s="18" t="s">
        <v>197</v>
      </c>
    </row>
    <row r="19" spans="1:65" ht="19.350000000000001" customHeight="1">
      <c r="A19" s="21">
        <v>17</v>
      </c>
      <c r="B19" s="156" t="s">
        <v>504</v>
      </c>
      <c r="C19" s="40">
        <v>1520320400414</v>
      </c>
      <c r="D19" s="16">
        <f t="shared" ca="1" si="2"/>
        <v>74</v>
      </c>
      <c r="E19" s="76">
        <f t="shared" si="3"/>
        <v>19073</v>
      </c>
      <c r="F19" s="142" t="s">
        <v>505</v>
      </c>
      <c r="G19" s="117">
        <v>300</v>
      </c>
      <c r="H19" s="46" t="s">
        <v>506</v>
      </c>
      <c r="I19" s="145" t="s">
        <v>507</v>
      </c>
      <c r="J19" s="15" t="s">
        <v>508</v>
      </c>
      <c r="K19" s="100">
        <v>2840820410046</v>
      </c>
      <c r="L19" s="22" t="s">
        <v>509</v>
      </c>
      <c r="M19" s="22" t="s">
        <v>510</v>
      </c>
      <c r="N19" s="126">
        <v>773308834</v>
      </c>
      <c r="O19" s="134"/>
      <c r="P19" s="128"/>
      <c r="Q19" s="1"/>
    </row>
    <row r="20" spans="1:65" ht="19.350000000000001" customHeight="1">
      <c r="A20" s="21">
        <v>18</v>
      </c>
      <c r="B20" s="155" t="s">
        <v>488</v>
      </c>
      <c r="C20" s="129">
        <v>1611119400458</v>
      </c>
      <c r="D20" s="129">
        <f t="shared" ca="1" si="2"/>
        <v>64</v>
      </c>
      <c r="E20" s="135">
        <f t="shared" si="3"/>
        <v>22604</v>
      </c>
      <c r="F20" s="129" t="s">
        <v>489</v>
      </c>
      <c r="G20" s="136">
        <v>279</v>
      </c>
      <c r="H20" s="129" t="s">
        <v>490</v>
      </c>
      <c r="I20" s="30" t="s">
        <v>491</v>
      </c>
      <c r="J20" s="130" t="s">
        <v>492</v>
      </c>
      <c r="K20" s="33">
        <v>5001225420021</v>
      </c>
      <c r="L20" s="33" t="s">
        <v>493</v>
      </c>
      <c r="M20" s="159" t="s">
        <v>494</v>
      </c>
      <c r="N20" s="36">
        <v>769725566</v>
      </c>
      <c r="O20" s="161" t="s">
        <v>487</v>
      </c>
      <c r="P20" s="124" t="s">
        <v>440</v>
      </c>
      <c r="Q20" s="18"/>
    </row>
    <row r="21" spans="1:65" ht="19.350000000000001" customHeight="1">
      <c r="A21" s="21">
        <v>19</v>
      </c>
      <c r="B21" s="152" t="s">
        <v>259</v>
      </c>
      <c r="C21" s="113">
        <v>2380402293148</v>
      </c>
      <c r="D21" s="113">
        <f t="shared" ca="1" si="2"/>
        <v>88</v>
      </c>
      <c r="E21" s="114">
        <f t="shared" si="3"/>
        <v>13972</v>
      </c>
      <c r="F21" s="137" t="s">
        <v>260</v>
      </c>
      <c r="G21" s="157">
        <v>21</v>
      </c>
      <c r="H21" s="158" t="s">
        <v>333</v>
      </c>
      <c r="I21" s="137" t="s">
        <v>261</v>
      </c>
      <c r="J21" s="153" t="s">
        <v>262</v>
      </c>
      <c r="K21" s="113">
        <v>2591112293101</v>
      </c>
      <c r="L21" s="145" t="s">
        <v>263</v>
      </c>
      <c r="M21" s="115" t="s">
        <v>264</v>
      </c>
      <c r="N21" s="160">
        <v>745032627</v>
      </c>
      <c r="O21" s="161" t="s">
        <v>487</v>
      </c>
      <c r="P21" s="154" t="s">
        <v>439</v>
      </c>
      <c r="Q21" s="115" t="s">
        <v>197</v>
      </c>
      <c r="AW21" s="21"/>
      <c r="AX21" s="31"/>
      <c r="AY21" s="32"/>
      <c r="AZ21" s="16"/>
      <c r="BA21" s="17"/>
      <c r="BB21" s="34"/>
      <c r="BC21" s="37"/>
      <c r="BD21" s="30"/>
      <c r="BE21" s="34"/>
      <c r="BF21" s="35"/>
      <c r="BG21" s="36"/>
      <c r="BH21" s="33"/>
      <c r="BI21" s="34"/>
      <c r="BJ21" s="34"/>
      <c r="BK21" s="34"/>
      <c r="BL21" s="18"/>
      <c r="BM21" s="1"/>
    </row>
    <row r="22" spans="1:65" ht="19.350000000000001" customHeight="1">
      <c r="A22" s="21">
        <v>20</v>
      </c>
      <c r="B22" s="15" t="s">
        <v>472</v>
      </c>
      <c r="C22" s="40">
        <v>1590911400605</v>
      </c>
      <c r="D22" s="40">
        <f t="shared" ca="1" si="2"/>
        <v>66</v>
      </c>
      <c r="E22" s="91">
        <f t="shared" si="3"/>
        <v>21804</v>
      </c>
      <c r="F22" s="45" t="s">
        <v>473</v>
      </c>
      <c r="G22" s="117">
        <v>166</v>
      </c>
      <c r="H22" s="46" t="s">
        <v>474</v>
      </c>
      <c r="I22" s="19" t="s">
        <v>475</v>
      </c>
      <c r="J22" s="15" t="s">
        <v>476</v>
      </c>
      <c r="K22" s="16">
        <v>1590911400605</v>
      </c>
      <c r="L22" s="18" t="s">
        <v>473</v>
      </c>
      <c r="M22" s="18" t="s">
        <v>475</v>
      </c>
      <c r="N22" s="126">
        <v>766591095</v>
      </c>
      <c r="O22" s="161" t="s">
        <v>487</v>
      </c>
      <c r="P22" s="128" t="s">
        <v>439</v>
      </c>
      <c r="Q22" s="18"/>
      <c r="AW22" s="92"/>
      <c r="AX22" s="102"/>
      <c r="AY22" s="93"/>
      <c r="AZ22" s="100"/>
      <c r="BA22" s="103"/>
      <c r="BB22" s="97"/>
      <c r="BC22" s="96"/>
      <c r="BD22" s="95"/>
      <c r="BE22" s="97"/>
      <c r="BF22" s="98"/>
      <c r="BG22" s="99"/>
      <c r="BH22" s="94"/>
      <c r="BI22" s="97"/>
      <c r="BJ22" s="97"/>
      <c r="BK22" s="97"/>
      <c r="BL22" s="22"/>
    </row>
    <row r="23" spans="1:65" ht="19.350000000000001" customHeight="1">
      <c r="A23" s="21">
        <v>21</v>
      </c>
      <c r="B23" s="20" t="s">
        <v>301</v>
      </c>
      <c r="C23" s="90">
        <v>1660313340031</v>
      </c>
      <c r="D23" s="40">
        <f t="shared" ca="1" si="2"/>
        <v>60</v>
      </c>
      <c r="E23" s="91">
        <f t="shared" si="3"/>
        <v>24179</v>
      </c>
      <c r="F23" s="19" t="s">
        <v>302</v>
      </c>
      <c r="G23" s="116">
        <v>136</v>
      </c>
      <c r="H23" s="19" t="s">
        <v>304</v>
      </c>
      <c r="I23" s="19" t="s">
        <v>303</v>
      </c>
      <c r="J23" s="20"/>
      <c r="K23" s="36"/>
      <c r="L23" s="33"/>
      <c r="M23" s="34"/>
      <c r="N23" s="151"/>
      <c r="O23" s="161" t="s">
        <v>487</v>
      </c>
      <c r="P23" s="18" t="s">
        <v>305</v>
      </c>
      <c r="Q23" s="18" t="s">
        <v>197</v>
      </c>
    </row>
    <row r="24" spans="1:65" ht="19.350000000000001" customHeight="1">
      <c r="A24" s="21">
        <v>22</v>
      </c>
      <c r="B24" s="43" t="s">
        <v>224</v>
      </c>
      <c r="C24" s="16">
        <v>1410207400211</v>
      </c>
      <c r="D24" s="16">
        <f t="shared" ca="1" si="2"/>
        <v>85</v>
      </c>
      <c r="E24" s="76">
        <f t="shared" si="3"/>
        <v>15014</v>
      </c>
      <c r="F24" s="19" t="s">
        <v>225</v>
      </c>
      <c r="G24" s="116">
        <v>496</v>
      </c>
      <c r="H24" s="26" t="s">
        <v>334</v>
      </c>
      <c r="I24" s="19" t="s">
        <v>226</v>
      </c>
      <c r="J24" s="20" t="s">
        <v>227</v>
      </c>
      <c r="K24" s="16">
        <v>16706194630318</v>
      </c>
      <c r="L24" s="19" t="s">
        <v>228</v>
      </c>
      <c r="M24" s="18" t="s">
        <v>229</v>
      </c>
      <c r="N24" s="42">
        <v>723208497</v>
      </c>
      <c r="O24" s="161" t="s">
        <v>487</v>
      </c>
      <c r="P24" s="124" t="s">
        <v>439</v>
      </c>
      <c r="Q24" s="1"/>
    </row>
    <row r="25" spans="1:65" ht="19.350000000000001" customHeight="1">
      <c r="A25" s="21">
        <v>23</v>
      </c>
      <c r="B25" s="43" t="s">
        <v>56</v>
      </c>
      <c r="C25" s="73">
        <v>2510909293175</v>
      </c>
      <c r="D25" s="113">
        <f t="shared" ca="1" si="2"/>
        <v>74</v>
      </c>
      <c r="E25" s="114">
        <f t="shared" si="3"/>
        <v>18880</v>
      </c>
      <c r="F25" s="46" t="s">
        <v>100</v>
      </c>
      <c r="G25" s="117">
        <v>110</v>
      </c>
      <c r="H25" s="46" t="s">
        <v>275</v>
      </c>
      <c r="I25" s="19" t="s">
        <v>101</v>
      </c>
      <c r="J25" s="20" t="s">
        <v>102</v>
      </c>
      <c r="K25" s="16">
        <v>2481013293106</v>
      </c>
      <c r="L25" s="19" t="s">
        <v>103</v>
      </c>
      <c r="M25" s="18" t="s">
        <v>101</v>
      </c>
      <c r="N25" s="44" t="s">
        <v>104</v>
      </c>
      <c r="O25" s="161" t="s">
        <v>487</v>
      </c>
      <c r="P25" s="18" t="s">
        <v>235</v>
      </c>
      <c r="Q25" s="18"/>
    </row>
    <row r="26" spans="1:65" ht="19.350000000000001" customHeight="1">
      <c r="A26" s="21">
        <v>24</v>
      </c>
      <c r="B26" s="43" t="s">
        <v>441</v>
      </c>
      <c r="C26" s="16">
        <v>1570204400649</v>
      </c>
      <c r="D26" s="16">
        <f t="shared" ca="1" si="2"/>
        <v>69</v>
      </c>
      <c r="E26" s="76">
        <f t="shared" si="3"/>
        <v>20855</v>
      </c>
      <c r="F26" s="46" t="s">
        <v>442</v>
      </c>
      <c r="G26" s="117">
        <v>231</v>
      </c>
      <c r="H26" s="49" t="s">
        <v>443</v>
      </c>
      <c r="I26" s="19" t="s">
        <v>444</v>
      </c>
      <c r="J26" s="20" t="s">
        <v>445</v>
      </c>
      <c r="K26" s="16">
        <v>2790830471033</v>
      </c>
      <c r="L26" s="19" t="s">
        <v>446</v>
      </c>
      <c r="M26" s="18" t="s">
        <v>447</v>
      </c>
      <c r="N26" s="44"/>
      <c r="O26" s="161" t="s">
        <v>487</v>
      </c>
      <c r="P26" s="18"/>
      <c r="Q26" s="18"/>
    </row>
    <row r="27" spans="1:65" ht="19.350000000000001" customHeight="1">
      <c r="A27" s="21">
        <v>25</v>
      </c>
      <c r="B27" s="43" t="s">
        <v>217</v>
      </c>
      <c r="C27" s="72">
        <v>2430828253201</v>
      </c>
      <c r="D27" s="16">
        <f t="shared" ca="1" si="2"/>
        <v>82</v>
      </c>
      <c r="E27" s="76">
        <f t="shared" si="3"/>
        <v>15946</v>
      </c>
      <c r="F27" s="19" t="s">
        <v>192</v>
      </c>
      <c r="G27" s="116">
        <v>166</v>
      </c>
      <c r="H27" s="26" t="s">
        <v>336</v>
      </c>
      <c r="I27" s="19" t="s">
        <v>193</v>
      </c>
      <c r="J27" s="20" t="s">
        <v>194</v>
      </c>
      <c r="K27" s="16">
        <v>1631018020059</v>
      </c>
      <c r="L27" s="19" t="s">
        <v>195</v>
      </c>
      <c r="M27" s="18" t="s">
        <v>196</v>
      </c>
      <c r="N27" s="42">
        <v>762673477</v>
      </c>
      <c r="O27" s="161" t="s">
        <v>487</v>
      </c>
      <c r="P27" s="18" t="s">
        <v>236</v>
      </c>
      <c r="Q27" s="1"/>
    </row>
    <row r="28" spans="1:65" ht="19.350000000000001" customHeight="1">
      <c r="A28" s="21">
        <v>26</v>
      </c>
      <c r="B28" s="43" t="s">
        <v>563</v>
      </c>
      <c r="C28" s="73">
        <v>1581201400172</v>
      </c>
      <c r="D28" s="16">
        <f t="shared" ca="1" si="2"/>
        <v>67</v>
      </c>
      <c r="E28" s="76">
        <f t="shared" si="3"/>
        <v>21520</v>
      </c>
      <c r="F28" s="46" t="s">
        <v>564</v>
      </c>
      <c r="G28" s="117">
        <v>375</v>
      </c>
      <c r="H28" s="49" t="s">
        <v>565</v>
      </c>
      <c r="I28" s="19" t="s">
        <v>570</v>
      </c>
      <c r="J28" s="20" t="s">
        <v>566</v>
      </c>
      <c r="K28" s="16">
        <v>2980510410014</v>
      </c>
      <c r="L28" s="19" t="s">
        <v>567</v>
      </c>
      <c r="M28" s="18" t="s">
        <v>568</v>
      </c>
      <c r="N28" s="44" t="s">
        <v>569</v>
      </c>
      <c r="O28" s="161"/>
      <c r="P28" s="124" t="s">
        <v>439</v>
      </c>
      <c r="Q28" s="1"/>
    </row>
    <row r="29" spans="1:65" ht="19.350000000000001" customHeight="1">
      <c r="A29" s="21">
        <v>27</v>
      </c>
      <c r="B29" s="43" t="s">
        <v>59</v>
      </c>
      <c r="C29" s="73">
        <v>1521205151793</v>
      </c>
      <c r="D29" s="16">
        <f t="shared" ca="1" si="2"/>
        <v>73</v>
      </c>
      <c r="E29" s="76">
        <f t="shared" si="3"/>
        <v>19333</v>
      </c>
      <c r="F29" s="46" t="s">
        <v>9</v>
      </c>
      <c r="G29" s="117">
        <v>83</v>
      </c>
      <c r="H29" s="46" t="s">
        <v>277</v>
      </c>
      <c r="I29" s="19" t="s">
        <v>35</v>
      </c>
      <c r="J29" s="20" t="s">
        <v>7</v>
      </c>
      <c r="K29" s="16">
        <v>2840101152500</v>
      </c>
      <c r="L29" s="19" t="s">
        <v>10</v>
      </c>
      <c r="M29" s="18" t="s">
        <v>21</v>
      </c>
      <c r="N29" s="44" t="s">
        <v>8</v>
      </c>
      <c r="O29" s="161" t="s">
        <v>487</v>
      </c>
      <c r="P29" s="124" t="s">
        <v>439</v>
      </c>
      <c r="Q29" s="1"/>
    </row>
    <row r="30" spans="1:65" ht="19.350000000000001" customHeight="1">
      <c r="A30" s="21">
        <v>28</v>
      </c>
      <c r="B30" s="43" t="s">
        <v>60</v>
      </c>
      <c r="C30" s="72">
        <v>2470520400591</v>
      </c>
      <c r="D30" s="16">
        <f t="shared" ca="1" si="2"/>
        <v>79</v>
      </c>
      <c r="E30" s="76">
        <f t="shared" si="3"/>
        <v>17307</v>
      </c>
      <c r="F30" s="19" t="s">
        <v>116</v>
      </c>
      <c r="G30" s="116">
        <v>253</v>
      </c>
      <c r="H30" s="19" t="s">
        <v>48</v>
      </c>
      <c r="I30" s="19" t="s">
        <v>117</v>
      </c>
      <c r="J30" s="20" t="s">
        <v>118</v>
      </c>
      <c r="K30" s="16">
        <v>2690919033091</v>
      </c>
      <c r="L30" s="19" t="s">
        <v>119</v>
      </c>
      <c r="M30" s="18" t="s">
        <v>120</v>
      </c>
      <c r="N30" s="42">
        <v>741058589</v>
      </c>
      <c r="O30" s="161" t="s">
        <v>487</v>
      </c>
      <c r="P30" s="18" t="s">
        <v>237</v>
      </c>
      <c r="Q30" s="1"/>
    </row>
    <row r="31" spans="1:65" ht="19.350000000000001" customHeight="1">
      <c r="A31" s="21">
        <v>29</v>
      </c>
      <c r="B31" s="43" t="s">
        <v>61</v>
      </c>
      <c r="C31" s="73">
        <v>1650813092230</v>
      </c>
      <c r="D31" s="16">
        <f t="shared" ca="1" si="2"/>
        <v>60</v>
      </c>
      <c r="E31" s="76">
        <f t="shared" si="3"/>
        <v>23967</v>
      </c>
      <c r="F31" s="46" t="s">
        <v>121</v>
      </c>
      <c r="G31" s="117">
        <v>110</v>
      </c>
      <c r="H31" s="46" t="s">
        <v>37</v>
      </c>
      <c r="I31" s="19" t="s">
        <v>122</v>
      </c>
      <c r="J31" s="20" t="s">
        <v>123</v>
      </c>
      <c r="K31" s="16">
        <v>2580109212966</v>
      </c>
      <c r="L31" s="19" t="s">
        <v>124</v>
      </c>
      <c r="M31" s="18" t="s">
        <v>216</v>
      </c>
      <c r="N31" s="44" t="s">
        <v>125</v>
      </c>
      <c r="O31" s="161" t="s">
        <v>487</v>
      </c>
      <c r="P31" s="18" t="s">
        <v>240</v>
      </c>
      <c r="Q31" s="18"/>
    </row>
    <row r="32" spans="1:65" ht="19.350000000000001" customHeight="1">
      <c r="A32" s="21">
        <v>30</v>
      </c>
      <c r="B32" s="43" t="s">
        <v>62</v>
      </c>
      <c r="C32" s="73">
        <v>1591027092235</v>
      </c>
      <c r="D32" s="16">
        <f t="shared" ca="1" si="2"/>
        <v>66</v>
      </c>
      <c r="E32" s="76">
        <f t="shared" si="3"/>
        <v>21850</v>
      </c>
      <c r="F32" s="46" t="s">
        <v>126</v>
      </c>
      <c r="G32" s="117">
        <v>115</v>
      </c>
      <c r="H32" s="46" t="s">
        <v>37</v>
      </c>
      <c r="I32" s="19" t="s">
        <v>122</v>
      </c>
      <c r="J32" s="20" t="s">
        <v>123</v>
      </c>
      <c r="K32" s="16">
        <v>2580109212966</v>
      </c>
      <c r="L32" s="19" t="s">
        <v>124</v>
      </c>
      <c r="M32" s="18" t="s">
        <v>216</v>
      </c>
      <c r="N32" s="44" t="s">
        <v>125</v>
      </c>
      <c r="O32" s="161" t="s">
        <v>487</v>
      </c>
      <c r="P32" s="18" t="s">
        <v>238</v>
      </c>
      <c r="Q32" s="18"/>
    </row>
    <row r="33" spans="1:17" ht="19.350000000000001" customHeight="1">
      <c r="A33" s="21">
        <v>31</v>
      </c>
      <c r="B33" s="43" t="s">
        <v>63</v>
      </c>
      <c r="C33" s="73">
        <v>1570427400362</v>
      </c>
      <c r="D33" s="16">
        <f t="shared" ca="1" si="2"/>
        <v>69</v>
      </c>
      <c r="E33" s="76">
        <f t="shared" si="3"/>
        <v>20937</v>
      </c>
      <c r="F33" s="46" t="s">
        <v>127</v>
      </c>
      <c r="G33" s="117">
        <v>24</v>
      </c>
      <c r="H33" s="46" t="s">
        <v>274</v>
      </c>
      <c r="I33" s="19" t="s">
        <v>128</v>
      </c>
      <c r="J33" s="20" t="s">
        <v>129</v>
      </c>
      <c r="K33" s="16">
        <v>2551002400810</v>
      </c>
      <c r="L33" s="19" t="s">
        <v>130</v>
      </c>
      <c r="M33" s="18" t="s">
        <v>128</v>
      </c>
      <c r="N33" s="44" t="s">
        <v>131</v>
      </c>
      <c r="O33" s="162" t="s">
        <v>486</v>
      </c>
      <c r="P33" s="124" t="s">
        <v>439</v>
      </c>
      <c r="Q33" s="18"/>
    </row>
    <row r="34" spans="1:17" ht="19.350000000000001" customHeight="1">
      <c r="A34" s="21">
        <v>32</v>
      </c>
      <c r="B34" s="43" t="s">
        <v>64</v>
      </c>
      <c r="C34" s="73">
        <v>2340703400403</v>
      </c>
      <c r="D34" s="16">
        <f t="shared" ca="1" si="2"/>
        <v>92</v>
      </c>
      <c r="E34" s="76">
        <f t="shared" si="3"/>
        <v>12603</v>
      </c>
      <c r="F34" s="46" t="s">
        <v>132</v>
      </c>
      <c r="G34" s="117">
        <v>70</v>
      </c>
      <c r="H34" s="46" t="s">
        <v>133</v>
      </c>
      <c r="I34" s="19" t="s">
        <v>134</v>
      </c>
      <c r="J34" s="20" t="s">
        <v>135</v>
      </c>
      <c r="K34" s="16">
        <v>1630414400039</v>
      </c>
      <c r="L34" s="19" t="s">
        <v>136</v>
      </c>
      <c r="M34" s="18" t="s">
        <v>134</v>
      </c>
      <c r="N34" s="44" t="s">
        <v>137</v>
      </c>
      <c r="O34" s="161" t="s">
        <v>487</v>
      </c>
      <c r="P34" s="18" t="s">
        <v>239</v>
      </c>
      <c r="Q34" s="18"/>
    </row>
    <row r="35" spans="1:17" ht="19.350000000000001" customHeight="1">
      <c r="A35" s="21">
        <v>33</v>
      </c>
      <c r="B35" s="80" t="s">
        <v>375</v>
      </c>
      <c r="C35" s="32">
        <v>2470916400616</v>
      </c>
      <c r="D35" s="16">
        <f t="shared" ca="1" si="2"/>
        <v>78</v>
      </c>
      <c r="E35" s="76">
        <f t="shared" si="3"/>
        <v>17426</v>
      </c>
      <c r="F35" s="30" t="s">
        <v>376</v>
      </c>
      <c r="G35" s="37">
        <v>148</v>
      </c>
      <c r="H35" s="30" t="s">
        <v>377</v>
      </c>
      <c r="I35" s="30" t="s">
        <v>378</v>
      </c>
      <c r="J35" s="35" t="s">
        <v>379</v>
      </c>
      <c r="K35" s="33">
        <v>2671204451523</v>
      </c>
      <c r="L35" s="33" t="s">
        <v>380</v>
      </c>
      <c r="M35" s="34" t="s">
        <v>381</v>
      </c>
      <c r="N35" s="34" t="s">
        <v>382</v>
      </c>
      <c r="O35" s="161" t="s">
        <v>487</v>
      </c>
      <c r="P35" s="124" t="s">
        <v>440</v>
      </c>
      <c r="Q35" s="1"/>
    </row>
    <row r="36" spans="1:17" ht="19.350000000000001" customHeight="1">
      <c r="A36" s="21">
        <v>34</v>
      </c>
      <c r="B36" s="80" t="s">
        <v>319</v>
      </c>
      <c r="C36" s="33">
        <v>2360213400407</v>
      </c>
      <c r="D36" s="16">
        <f t="shared" ca="1" si="2"/>
        <v>90</v>
      </c>
      <c r="E36" s="76">
        <f t="shared" si="3"/>
        <v>13193</v>
      </c>
      <c r="F36" s="30" t="s">
        <v>320</v>
      </c>
      <c r="G36" s="37">
        <v>84</v>
      </c>
      <c r="H36" s="30" t="s">
        <v>321</v>
      </c>
      <c r="I36" s="30" t="s">
        <v>322</v>
      </c>
      <c r="J36" s="35" t="s">
        <v>323</v>
      </c>
      <c r="K36" s="33">
        <v>267061741523</v>
      </c>
      <c r="L36" s="33" t="s">
        <v>324</v>
      </c>
      <c r="M36" s="34" t="s">
        <v>325</v>
      </c>
      <c r="N36" s="88">
        <v>744580051</v>
      </c>
      <c r="O36" s="161" t="s">
        <v>487</v>
      </c>
      <c r="P36" s="124" t="s">
        <v>440</v>
      </c>
      <c r="Q36" s="1"/>
    </row>
    <row r="37" spans="1:17" ht="19.350000000000001" customHeight="1">
      <c r="A37" s="21">
        <v>35</v>
      </c>
      <c r="B37" s="20" t="s">
        <v>284</v>
      </c>
      <c r="C37" s="16">
        <v>2440909341717</v>
      </c>
      <c r="D37" s="16">
        <f t="shared" ca="1" si="2"/>
        <v>81</v>
      </c>
      <c r="E37" s="76">
        <f t="shared" si="3"/>
        <v>16324</v>
      </c>
      <c r="F37" s="19" t="s">
        <v>285</v>
      </c>
      <c r="G37" s="116">
        <v>48</v>
      </c>
      <c r="H37" s="19" t="s">
        <v>286</v>
      </c>
      <c r="I37" s="19" t="s">
        <v>287</v>
      </c>
      <c r="J37" s="20" t="s">
        <v>288</v>
      </c>
      <c r="K37" s="16">
        <v>1690531341727</v>
      </c>
      <c r="L37" s="19" t="s">
        <v>289</v>
      </c>
      <c r="M37" s="18" t="s">
        <v>290</v>
      </c>
      <c r="N37" s="42">
        <v>771420870</v>
      </c>
      <c r="O37" s="161" t="s">
        <v>487</v>
      </c>
      <c r="P37" s="18" t="s">
        <v>353</v>
      </c>
      <c r="Q37" s="1"/>
    </row>
    <row r="38" spans="1:17" ht="19.350000000000001" customHeight="1">
      <c r="A38" s="21">
        <v>36</v>
      </c>
      <c r="B38" s="43" t="s">
        <v>249</v>
      </c>
      <c r="C38" s="16">
        <v>2431103400541</v>
      </c>
      <c r="D38" s="16">
        <f t="shared" ca="1" si="2"/>
        <v>82</v>
      </c>
      <c r="E38" s="76">
        <f t="shared" si="3"/>
        <v>16013</v>
      </c>
      <c r="F38" s="19" t="s">
        <v>250</v>
      </c>
      <c r="G38" s="116">
        <v>522</v>
      </c>
      <c r="H38" s="26" t="s">
        <v>338</v>
      </c>
      <c r="I38" s="19" t="s">
        <v>251</v>
      </c>
      <c r="J38" s="20" t="s">
        <v>256</v>
      </c>
      <c r="K38" s="16">
        <v>2671225461532</v>
      </c>
      <c r="L38" s="19" t="s">
        <v>530</v>
      </c>
      <c r="M38" s="18" t="s">
        <v>253</v>
      </c>
      <c r="N38" s="42">
        <v>722886163</v>
      </c>
      <c r="O38" s="161" t="s">
        <v>487</v>
      </c>
      <c r="P38" s="124" t="s">
        <v>439</v>
      </c>
      <c r="Q38" s="1"/>
    </row>
    <row r="39" spans="1:17" ht="19.350000000000001" customHeight="1">
      <c r="A39" s="21">
        <v>37</v>
      </c>
      <c r="B39" s="43" t="s">
        <v>66</v>
      </c>
      <c r="C39" s="73">
        <v>2621104400248</v>
      </c>
      <c r="D39" s="16">
        <f t="shared" ca="1" si="2"/>
        <v>63</v>
      </c>
      <c r="E39" s="76">
        <f t="shared" si="3"/>
        <v>22954</v>
      </c>
      <c r="F39" s="46" t="s">
        <v>144</v>
      </c>
      <c r="G39" s="117">
        <v>53</v>
      </c>
      <c r="H39" s="49" t="s">
        <v>340</v>
      </c>
      <c r="I39" s="19" t="s">
        <v>145</v>
      </c>
      <c r="J39" s="20" t="s">
        <v>146</v>
      </c>
      <c r="K39" s="16">
        <v>2820127420104</v>
      </c>
      <c r="L39" s="19" t="s">
        <v>147</v>
      </c>
      <c r="M39" s="18" t="s">
        <v>145</v>
      </c>
      <c r="N39" s="44" t="s">
        <v>148</v>
      </c>
      <c r="O39" s="162" t="s">
        <v>486</v>
      </c>
      <c r="P39" s="124" t="s">
        <v>439</v>
      </c>
      <c r="Q39" s="18"/>
    </row>
    <row r="40" spans="1:17" ht="19.350000000000001" customHeight="1">
      <c r="A40" s="21">
        <v>38</v>
      </c>
      <c r="B40" s="43" t="s">
        <v>67</v>
      </c>
      <c r="C40" s="73">
        <v>2420717400637</v>
      </c>
      <c r="D40" s="16">
        <f t="shared" ca="1" si="2"/>
        <v>84</v>
      </c>
      <c r="E40" s="76">
        <f t="shared" si="3"/>
        <v>15539</v>
      </c>
      <c r="F40" s="46" t="s">
        <v>149</v>
      </c>
      <c r="G40" s="117">
        <v>14</v>
      </c>
      <c r="H40" s="49" t="s">
        <v>341</v>
      </c>
      <c r="I40" s="19" t="s">
        <v>150</v>
      </c>
      <c r="J40" s="20" t="s">
        <v>44</v>
      </c>
      <c r="K40" s="16">
        <v>1680311463037</v>
      </c>
      <c r="L40" s="19" t="s">
        <v>151</v>
      </c>
      <c r="M40" s="18" t="s">
        <v>152</v>
      </c>
      <c r="N40" s="44" t="s">
        <v>47</v>
      </c>
      <c r="O40" s="161" t="s">
        <v>487</v>
      </c>
      <c r="P40" s="124" t="s">
        <v>439</v>
      </c>
      <c r="Q40" s="1"/>
    </row>
    <row r="41" spans="1:17" ht="19.350000000000001" customHeight="1">
      <c r="A41" s="92"/>
      <c r="B41" s="140"/>
      <c r="C41" s="141"/>
      <c r="D41" s="100"/>
      <c r="E41" s="104"/>
      <c r="F41" s="142"/>
      <c r="G41" s="143"/>
      <c r="H41" s="144"/>
      <c r="I41" s="145"/>
      <c r="J41" s="146"/>
      <c r="K41" s="100"/>
      <c r="L41" s="145"/>
      <c r="M41" s="22"/>
      <c r="N41" s="147"/>
      <c r="O41" s="148"/>
      <c r="P41" s="149"/>
    </row>
    <row r="42" spans="1:17" ht="19.350000000000001" customHeight="1">
      <c r="B42" s="101" t="s">
        <v>16</v>
      </c>
      <c r="C42" s="93"/>
      <c r="D42" s="100"/>
      <c r="E42" s="104"/>
      <c r="F42" s="95"/>
      <c r="G42" s="96"/>
      <c r="H42" s="95"/>
      <c r="I42" s="97"/>
      <c r="J42" s="98"/>
      <c r="K42" s="99"/>
      <c r="L42" s="94"/>
      <c r="M42" s="97"/>
      <c r="N42" s="97"/>
      <c r="O42" s="97"/>
      <c r="P42" s="22"/>
    </row>
    <row r="43" spans="1:17" ht="19.350000000000001" customHeight="1">
      <c r="A43" s="51" t="s">
        <v>25</v>
      </c>
      <c r="B43" s="81" t="s">
        <v>0</v>
      </c>
      <c r="C43" s="52" t="s">
        <v>1</v>
      </c>
      <c r="D43" s="52" t="s">
        <v>247</v>
      </c>
      <c r="E43" s="52" t="s">
        <v>248</v>
      </c>
      <c r="F43" s="77" t="s">
        <v>13</v>
      </c>
      <c r="G43" s="77"/>
      <c r="H43" s="77" t="s">
        <v>19</v>
      </c>
      <c r="I43" s="53" t="s">
        <v>4</v>
      </c>
      <c r="J43" s="53" t="s">
        <v>0</v>
      </c>
      <c r="K43" s="54" t="s">
        <v>1</v>
      </c>
      <c r="L43" s="53" t="s">
        <v>13</v>
      </c>
      <c r="M43" s="55" t="s">
        <v>4</v>
      </c>
      <c r="N43" s="56" t="s">
        <v>14</v>
      </c>
      <c r="O43" s="57" t="s">
        <v>17</v>
      </c>
      <c r="P43" s="57" t="s">
        <v>18</v>
      </c>
    </row>
    <row r="44" spans="1:17" s="8" customFormat="1" ht="19.350000000000001" customHeight="1">
      <c r="A44" s="27"/>
      <c r="B44" s="81"/>
      <c r="C44" s="52"/>
      <c r="D44" s="28"/>
      <c r="E44" s="28"/>
      <c r="F44" s="77"/>
      <c r="G44" s="77"/>
      <c r="H44" s="77"/>
      <c r="I44" s="53"/>
      <c r="J44" s="53"/>
      <c r="K44" s="54"/>
      <c r="L44" s="53"/>
      <c r="M44" s="55"/>
      <c r="N44" s="56"/>
      <c r="O44" s="57"/>
      <c r="P44" s="106"/>
    </row>
    <row r="45" spans="1:17" ht="19.350000000000001" customHeight="1">
      <c r="A45" s="29">
        <v>1</v>
      </c>
      <c r="B45" s="79" t="s">
        <v>241</v>
      </c>
      <c r="C45" s="41">
        <v>1590418400341</v>
      </c>
      <c r="D45" s="41">
        <f ca="1">DATEDIF(DATE(MID(C45,2,2),MID(C45,4,2),MID(C45,6,2)),TODAY(),"y")</f>
        <v>67</v>
      </c>
      <c r="E45" s="84">
        <f>DATE(IF(LEFT(C45,1)*1&lt;=2,MID(C45,2,2),MID(C45,2,2)+100),MID(C45,4,2),MID(C45,6,2))</f>
        <v>21658</v>
      </c>
      <c r="F45" s="48" t="s">
        <v>242</v>
      </c>
      <c r="G45" s="48">
        <v>507</v>
      </c>
      <c r="H45" s="59" t="s">
        <v>281</v>
      </c>
      <c r="I45" s="1" t="s">
        <v>243</v>
      </c>
      <c r="J45" s="39" t="s">
        <v>244</v>
      </c>
      <c r="K45" s="41">
        <v>1830912450049</v>
      </c>
      <c r="L45" s="1" t="s">
        <v>245</v>
      </c>
      <c r="M45" s="1" t="s">
        <v>246</v>
      </c>
      <c r="N45" s="83">
        <v>720572816</v>
      </c>
      <c r="O45" s="85" t="s">
        <v>279</v>
      </c>
      <c r="P45" s="60" t="s">
        <v>214</v>
      </c>
    </row>
    <row r="46" spans="1:17" ht="19.350000000000001" customHeight="1">
      <c r="A46" s="29">
        <v>2</v>
      </c>
      <c r="B46" s="79" t="s">
        <v>254</v>
      </c>
      <c r="C46" s="58">
        <v>2330928104988</v>
      </c>
      <c r="D46" s="41">
        <f ca="1">DATEDIF(DATE(MID(C46,2,2),MID(C46,4,2),MID(C46,6,2)),TODAY(),"y")</f>
        <v>92</v>
      </c>
      <c r="E46" s="84">
        <f>DATE(IF(LEFT(C46,1)*1&lt;=2,MID(C46,2,2),MID(C46,2,2)+100),MID(C46,4,2),MID(C46,6,2))</f>
        <v>12325</v>
      </c>
      <c r="F46" s="48" t="s">
        <v>270</v>
      </c>
      <c r="G46" s="48">
        <v>3</v>
      </c>
      <c r="H46" s="59" t="s">
        <v>282</v>
      </c>
      <c r="I46" s="1" t="s">
        <v>271</v>
      </c>
      <c r="J46" s="39" t="s">
        <v>280</v>
      </c>
      <c r="K46" s="41">
        <v>2561128400174</v>
      </c>
      <c r="L46" s="1" t="s">
        <v>272</v>
      </c>
      <c r="M46" s="1" t="s">
        <v>273</v>
      </c>
      <c r="N46" s="48">
        <v>745874829</v>
      </c>
      <c r="O46" s="48" t="s">
        <v>278</v>
      </c>
      <c r="P46" s="60" t="s">
        <v>161</v>
      </c>
    </row>
    <row r="47" spans="1:17" ht="19.350000000000001" customHeight="1">
      <c r="A47" s="50">
        <v>3</v>
      </c>
      <c r="B47" s="79" t="s">
        <v>265</v>
      </c>
      <c r="C47" s="41">
        <v>1470117522493</v>
      </c>
      <c r="D47" s="41">
        <f ca="1">DATEDIF(DATE(MID(C47,2,2),MID(C47,4,2),MID(C47,6,2)),TODAY(),"y")</f>
        <v>79</v>
      </c>
      <c r="E47" s="84">
        <f t="shared" ref="E47" si="4">DATE(IF(LEFT(C47,1)*1&lt;=2,MID(C47,2,2),MID(C47,2,2)+100),MID(C47,4,2),MID(C47,6,2))</f>
        <v>17184</v>
      </c>
      <c r="F47" s="48" t="s">
        <v>266</v>
      </c>
      <c r="G47" s="48">
        <v>527</v>
      </c>
      <c r="H47" s="48" t="s">
        <v>300</v>
      </c>
      <c r="I47" s="1" t="s">
        <v>267</v>
      </c>
      <c r="J47" s="39" t="s">
        <v>268</v>
      </c>
      <c r="K47" s="41">
        <v>1780117522490</v>
      </c>
      <c r="L47" s="1" t="s">
        <v>269</v>
      </c>
      <c r="M47" s="1" t="s">
        <v>267</v>
      </c>
      <c r="N47" s="48">
        <v>765579562</v>
      </c>
      <c r="O47" s="48" t="s">
        <v>283</v>
      </c>
      <c r="P47" s="60" t="s">
        <v>161</v>
      </c>
    </row>
    <row r="48" spans="1:17" ht="19.350000000000001" customHeight="1">
      <c r="A48" s="50">
        <v>4</v>
      </c>
      <c r="B48" s="79" t="s">
        <v>218</v>
      </c>
      <c r="C48" s="89">
        <v>2460811400098</v>
      </c>
      <c r="D48" s="41">
        <f ca="1">DATEDIF(DATE(MID(C48,2,2),MID(C48,4,2),MID(C48,6,2)),TODAY(),"y")</f>
        <v>79</v>
      </c>
      <c r="E48" s="84">
        <f>DATE(IF(LEFT(C48,1)*1&lt;=2,MID(C48,2,2),MID(C48,2,2)+100),MID(C48,4,2),MID(C48,6,2))</f>
        <v>17025</v>
      </c>
      <c r="F48" s="48" t="s">
        <v>219</v>
      </c>
      <c r="G48" s="48">
        <v>488</v>
      </c>
      <c r="H48" s="59" t="s">
        <v>299</v>
      </c>
      <c r="I48" s="1" t="s">
        <v>220</v>
      </c>
      <c r="J48" s="39" t="s">
        <v>221</v>
      </c>
      <c r="K48" s="41">
        <v>480314400041</v>
      </c>
      <c r="L48" s="1" t="s">
        <v>222</v>
      </c>
      <c r="M48" s="1" t="s">
        <v>223</v>
      </c>
      <c r="N48" s="48">
        <v>749534968</v>
      </c>
      <c r="O48" s="48" t="s">
        <v>350</v>
      </c>
      <c r="P48" s="60" t="s">
        <v>298</v>
      </c>
    </row>
    <row r="49" spans="1:17" ht="19.350000000000001" customHeight="1">
      <c r="A49" s="29">
        <v>5</v>
      </c>
      <c r="B49" s="79" t="s">
        <v>230</v>
      </c>
      <c r="C49" s="41">
        <v>2370801293096</v>
      </c>
      <c r="D49" s="41">
        <f t="shared" ref="D49" ca="1" si="5">DATEDIF(DATE(MID(C49,2,2),MID(C49,4,2),MID(C49,6,2)),TODAY(),"y")</f>
        <v>88</v>
      </c>
      <c r="E49" s="84">
        <f t="shared" ref="E49" si="6">DATE(IF(LEFT(C49,1)*1&lt;=2,MID(C49,2,2),MID(C49,2,2)+100),MID(C49,4,2),MID(C49,6,2))</f>
        <v>13728</v>
      </c>
      <c r="F49" s="107" t="s">
        <v>30</v>
      </c>
      <c r="G49" s="107">
        <v>8</v>
      </c>
      <c r="H49" s="108">
        <v>45726</v>
      </c>
      <c r="I49" s="1" t="s">
        <v>31</v>
      </c>
      <c r="J49" s="39" t="s">
        <v>68</v>
      </c>
      <c r="K49" s="41">
        <v>1620714323926</v>
      </c>
      <c r="L49" s="1" t="s">
        <v>32</v>
      </c>
      <c r="M49" s="1" t="s">
        <v>33</v>
      </c>
      <c r="N49" s="109" t="s">
        <v>34</v>
      </c>
      <c r="O49" s="110" t="s">
        <v>318</v>
      </c>
      <c r="P49" s="1" t="s">
        <v>298</v>
      </c>
      <c r="Q49" s="22"/>
    </row>
    <row r="50" spans="1:17" ht="19.350000000000001" customHeight="1">
      <c r="A50" s="29">
        <v>6</v>
      </c>
      <c r="B50" s="43" t="s">
        <v>65</v>
      </c>
      <c r="C50" s="73">
        <v>1610424400150</v>
      </c>
      <c r="D50" s="16">
        <f ca="1">DATEDIF(DATE(MID(C50,2,2),MID(C50,4,2),MID(C50,6,2)),TODAY(),"y")</f>
        <v>65</v>
      </c>
      <c r="E50" s="76">
        <f>DATE(IF(LEFT(C50,1)*1&lt;=2,MID(C50,2,2),MID(C50,2,2)+100),MID(C50,4,2),MID(C50,6,2))</f>
        <v>22395</v>
      </c>
      <c r="F50" s="46" t="s">
        <v>138</v>
      </c>
      <c r="G50" s="46">
        <v>186</v>
      </c>
      <c r="H50" s="49" t="s">
        <v>337</v>
      </c>
      <c r="I50" s="18" t="s">
        <v>139</v>
      </c>
      <c r="J50" s="20" t="s">
        <v>140</v>
      </c>
      <c r="K50" s="16">
        <v>2870930460101</v>
      </c>
      <c r="L50" s="19" t="s">
        <v>141</v>
      </c>
      <c r="M50" s="18" t="s">
        <v>142</v>
      </c>
      <c r="N50" s="44" t="s">
        <v>143</v>
      </c>
      <c r="O50" s="48" t="s">
        <v>321</v>
      </c>
      <c r="P50" s="60" t="s">
        <v>342</v>
      </c>
    </row>
    <row r="51" spans="1:17" ht="19.350000000000001" customHeight="1">
      <c r="A51" s="50">
        <v>7</v>
      </c>
      <c r="B51" s="43" t="s">
        <v>58</v>
      </c>
      <c r="C51" s="73">
        <v>2421105282216</v>
      </c>
      <c r="D51" s="16">
        <f ca="1">DATEDIF(DATE(MID(C51,2,2),MID(C51,4,2),MID(C51,6,2)),TODAY(),"y")</f>
        <v>83</v>
      </c>
      <c r="E51" s="76">
        <f>DATE(IF(LEFT(C51,1)*1&lt;=2,MID(C51,2,2),MID(C51,2,2)+100),MID(C51,4,2),MID(C51,6,2))</f>
        <v>15650</v>
      </c>
      <c r="F51" s="46" t="s">
        <v>110</v>
      </c>
      <c r="G51" s="46">
        <v>38</v>
      </c>
      <c r="H51" s="46" t="s">
        <v>153</v>
      </c>
      <c r="I51" s="18" t="s">
        <v>111</v>
      </c>
      <c r="J51" s="20" t="s">
        <v>112</v>
      </c>
      <c r="K51" s="16">
        <v>1890226282205</v>
      </c>
      <c r="L51" s="19" t="s">
        <v>113</v>
      </c>
      <c r="M51" s="18" t="s">
        <v>114</v>
      </c>
      <c r="N51" s="44" t="s">
        <v>115</v>
      </c>
      <c r="O51" s="86" t="s">
        <v>351</v>
      </c>
      <c r="P51" s="111" t="s">
        <v>161</v>
      </c>
    </row>
    <row r="52" spans="1:17" ht="19.350000000000001" customHeight="1">
      <c r="A52" s="50">
        <v>8</v>
      </c>
      <c r="B52" s="43" t="s">
        <v>186</v>
      </c>
      <c r="C52" s="72">
        <v>1460415400383</v>
      </c>
      <c r="D52" s="16">
        <f t="shared" ref="D52" ca="1" si="7">DATEDIF(DATE(MID(C52,2,2),MID(C52,4,2),MID(C52,6,2)),TODAY(),"y")</f>
        <v>80</v>
      </c>
      <c r="E52" s="76">
        <f t="shared" ref="E52" si="8">DATE(IF(LEFT(C52,1)*1&lt;=2,MID(C52,2,2),MID(C52,2,2)+100),MID(C52,4,2),MID(C52,6,2))</f>
        <v>16907</v>
      </c>
      <c r="F52" s="19" t="s">
        <v>187</v>
      </c>
      <c r="G52" s="19">
        <v>436</v>
      </c>
      <c r="H52" s="26" t="s">
        <v>332</v>
      </c>
      <c r="I52" s="18" t="s">
        <v>188</v>
      </c>
      <c r="J52" s="20" t="s">
        <v>189</v>
      </c>
      <c r="K52" s="16">
        <v>1740917441524</v>
      </c>
      <c r="L52" s="19" t="s">
        <v>190</v>
      </c>
      <c r="M52" s="18" t="s">
        <v>191</v>
      </c>
      <c r="N52" s="42">
        <v>721233888</v>
      </c>
      <c r="O52" s="48" t="s">
        <v>354</v>
      </c>
      <c r="P52" s="69" t="s">
        <v>355</v>
      </c>
    </row>
    <row r="53" spans="1:17" ht="19.350000000000001" customHeight="1">
      <c r="A53" s="29">
        <v>9</v>
      </c>
      <c r="B53" s="80" t="s">
        <v>343</v>
      </c>
      <c r="C53" s="33">
        <v>1680204511700</v>
      </c>
      <c r="D53" s="16">
        <f ca="1">DATEDIF(DATE(MID(C53,2,2),MID(C53,4,2),MID(C53,6,2)),TODAY(),"y")</f>
        <v>58</v>
      </c>
      <c r="E53" s="76">
        <f>DATE(IF(LEFT(C53,1)*1&lt;=2,MID(C53,2,2),MID(C53,2,2)+100),MID(C53,4,2),MID(C53,6,2))</f>
        <v>24872</v>
      </c>
      <c r="F53" s="30" t="s">
        <v>344</v>
      </c>
      <c r="G53" s="37">
        <v>96</v>
      </c>
      <c r="H53" s="30" t="s">
        <v>345</v>
      </c>
      <c r="I53" s="34" t="s">
        <v>346</v>
      </c>
      <c r="J53" s="35" t="s">
        <v>347</v>
      </c>
      <c r="K53" s="33">
        <v>2750619434551</v>
      </c>
      <c r="L53" s="33" t="s">
        <v>348</v>
      </c>
      <c r="M53" s="34" t="s">
        <v>349</v>
      </c>
      <c r="N53" s="88">
        <v>739473763</v>
      </c>
      <c r="O53" s="48" t="s">
        <v>356</v>
      </c>
      <c r="P53" s="60" t="s">
        <v>357</v>
      </c>
    </row>
    <row r="54" spans="1:17" ht="19.350000000000001" customHeight="1">
      <c r="A54" s="29">
        <v>10</v>
      </c>
      <c r="B54" s="43" t="s">
        <v>173</v>
      </c>
      <c r="C54" s="72">
        <v>1420806400075</v>
      </c>
      <c r="D54" s="16">
        <f ca="1">DATEDIF(DATE(MID(C54,2,2),MID(C54,4,2),MID(C54,6,2)),TODAY(),"y")</f>
        <v>83</v>
      </c>
      <c r="E54" s="76">
        <f>DATE(IF(LEFT(C54,1)*1&lt;=2,MID(C54,2,2),MID(C54,2,2)+100),MID(C54,4,2),MID(C54,6,2))</f>
        <v>15559</v>
      </c>
      <c r="F54" s="19" t="s">
        <v>168</v>
      </c>
      <c r="G54" s="19">
        <v>377</v>
      </c>
      <c r="H54" s="26" t="s">
        <v>329</v>
      </c>
      <c r="I54" s="18" t="s">
        <v>169</v>
      </c>
      <c r="J54" s="20" t="s">
        <v>170</v>
      </c>
      <c r="K54" s="16">
        <v>2670922431510</v>
      </c>
      <c r="L54" s="19" t="s">
        <v>171</v>
      </c>
      <c r="M54" s="18" t="s">
        <v>172</v>
      </c>
      <c r="N54" s="42">
        <v>721275011</v>
      </c>
      <c r="O54" s="48" t="s">
        <v>364</v>
      </c>
      <c r="P54" s="111" t="s">
        <v>161</v>
      </c>
    </row>
    <row r="55" spans="1:17" ht="19.350000000000001" customHeight="1">
      <c r="A55" s="50">
        <v>11</v>
      </c>
      <c r="B55" s="20" t="s">
        <v>311</v>
      </c>
      <c r="C55" s="41">
        <v>2441022400585</v>
      </c>
      <c r="D55" s="16">
        <f t="shared" ref="D55:D58" ca="1" si="9">DATEDIF(DATE(MID(C55,2,2),MID(C55,4,2),MID(C55,6,2)),TODAY(),"y")</f>
        <v>81</v>
      </c>
      <c r="E55" s="76">
        <f t="shared" ref="E55:E58" si="10">DATE(IF(LEFT(C55,1)*1&lt;=2,MID(C55,2,2),MID(C55,2,2)+100),MID(C55,4,2),MID(C55,6,2))</f>
        <v>16367</v>
      </c>
      <c r="F55" s="1" t="s">
        <v>312</v>
      </c>
      <c r="G55" s="30">
        <v>76</v>
      </c>
      <c r="H55" s="30" t="s">
        <v>313</v>
      </c>
      <c r="I55" s="1" t="s">
        <v>314</v>
      </c>
      <c r="J55" s="35" t="s">
        <v>315</v>
      </c>
      <c r="K55" s="41">
        <v>2550621400430</v>
      </c>
      <c r="L55" s="1" t="s">
        <v>316</v>
      </c>
      <c r="M55" s="1" t="s">
        <v>317</v>
      </c>
      <c r="N55" s="88">
        <v>721600669</v>
      </c>
      <c r="O55" s="48" t="s">
        <v>364</v>
      </c>
      <c r="P55" s="111" t="s">
        <v>161</v>
      </c>
    </row>
    <row r="56" spans="1:17" ht="19.350000000000001" customHeight="1">
      <c r="A56" s="112">
        <v>12</v>
      </c>
      <c r="B56" s="43" t="s">
        <v>39</v>
      </c>
      <c r="C56" s="72">
        <v>1420516400071</v>
      </c>
      <c r="D56" s="16">
        <f t="shared" ca="1" si="9"/>
        <v>84</v>
      </c>
      <c r="E56" s="76">
        <f t="shared" si="10"/>
        <v>15477</v>
      </c>
      <c r="F56" s="19" t="s">
        <v>42</v>
      </c>
      <c r="G56" s="19">
        <v>308</v>
      </c>
      <c r="H56" s="19" t="s">
        <v>49</v>
      </c>
      <c r="I56" s="18" t="s">
        <v>43</v>
      </c>
      <c r="J56" s="20" t="s">
        <v>44</v>
      </c>
      <c r="K56" s="16">
        <v>1680311463037</v>
      </c>
      <c r="L56" s="19" t="s">
        <v>45</v>
      </c>
      <c r="M56" s="18" t="s">
        <v>46</v>
      </c>
      <c r="N56" s="44" t="s">
        <v>47</v>
      </c>
      <c r="O56" s="48" t="s">
        <v>365</v>
      </c>
      <c r="P56" s="1" t="s">
        <v>298</v>
      </c>
    </row>
    <row r="57" spans="1:17" ht="19.350000000000001" customHeight="1">
      <c r="A57" s="112">
        <v>13</v>
      </c>
      <c r="B57" s="43" t="s">
        <v>155</v>
      </c>
      <c r="C57" s="72">
        <v>2460425400663</v>
      </c>
      <c r="D57" s="16">
        <f t="shared" ca="1" si="9"/>
        <v>80</v>
      </c>
      <c r="E57" s="76">
        <f t="shared" si="10"/>
        <v>16917</v>
      </c>
      <c r="F57" s="19" t="s">
        <v>156</v>
      </c>
      <c r="G57" s="19">
        <v>224</v>
      </c>
      <c r="H57" s="26" t="s">
        <v>331</v>
      </c>
      <c r="I57" s="18" t="s">
        <v>157</v>
      </c>
      <c r="J57" s="20" t="s">
        <v>158</v>
      </c>
      <c r="K57" s="16">
        <v>2710328523142</v>
      </c>
      <c r="L57" s="19" t="s">
        <v>159</v>
      </c>
      <c r="M57" s="18" t="s">
        <v>157</v>
      </c>
      <c r="N57" s="44" t="s">
        <v>160</v>
      </c>
      <c r="O57" s="48" t="s">
        <v>366</v>
      </c>
      <c r="P57" s="111" t="s">
        <v>161</v>
      </c>
    </row>
    <row r="58" spans="1:17" ht="19.350000000000001" customHeight="1">
      <c r="A58" s="112">
        <v>14</v>
      </c>
      <c r="B58" s="15" t="s">
        <v>306</v>
      </c>
      <c r="C58" s="90">
        <v>2481225400874</v>
      </c>
      <c r="D58" s="16">
        <f t="shared" ca="1" si="9"/>
        <v>77</v>
      </c>
      <c r="E58" s="76">
        <f t="shared" si="10"/>
        <v>17892</v>
      </c>
      <c r="F58" s="18" t="s">
        <v>307</v>
      </c>
      <c r="G58" s="19">
        <v>69</v>
      </c>
      <c r="H58" s="19" t="s">
        <v>330</v>
      </c>
      <c r="I58" s="18" t="s">
        <v>308</v>
      </c>
      <c r="J58" s="20" t="s">
        <v>309</v>
      </c>
      <c r="K58" s="16">
        <v>2851006460160</v>
      </c>
      <c r="L58" s="19" t="s">
        <v>310</v>
      </c>
      <c r="M58" s="18" t="s">
        <v>308</v>
      </c>
      <c r="N58" s="42">
        <v>746478823</v>
      </c>
      <c r="O58" s="48" t="s">
        <v>373</v>
      </c>
      <c r="P58" s="111" t="s">
        <v>161</v>
      </c>
    </row>
    <row r="59" spans="1:17" ht="19.350000000000001" customHeight="1">
      <c r="A59" s="112">
        <v>15</v>
      </c>
      <c r="B59" s="43" t="s">
        <v>55</v>
      </c>
      <c r="C59" s="73">
        <v>2530429100031</v>
      </c>
      <c r="D59" s="16">
        <f t="shared" ref="D59:D66" ca="1" si="11">DATEDIF(DATE(MID(C59,2,2),MID(C59,4,2),MID(C59,6,2)),TODAY(),"y")</f>
        <v>73</v>
      </c>
      <c r="E59" s="76">
        <f t="shared" ref="E59:E66" si="12">DATE(IF(LEFT(C59,1)*1&lt;=2,MID(C59,2,2),MID(C59,2,2)+100),MID(C59,4,2),MID(C59,6,2))</f>
        <v>19478</v>
      </c>
      <c r="F59" s="46" t="s">
        <v>11</v>
      </c>
      <c r="G59" s="46">
        <v>34</v>
      </c>
      <c r="H59" s="46" t="s">
        <v>274</v>
      </c>
      <c r="I59" s="45" t="s">
        <v>20</v>
      </c>
      <c r="J59" s="15" t="s">
        <v>5</v>
      </c>
      <c r="K59" s="16">
        <v>2750812100098</v>
      </c>
      <c r="L59" s="46" t="s">
        <v>12</v>
      </c>
      <c r="M59" s="45" t="s">
        <v>15</v>
      </c>
      <c r="N59" s="44" t="s">
        <v>6</v>
      </c>
      <c r="O59" s="48" t="s">
        <v>374</v>
      </c>
      <c r="P59" s="60" t="s">
        <v>214</v>
      </c>
    </row>
    <row r="60" spans="1:17" ht="19.350000000000001" customHeight="1">
      <c r="A60" s="112">
        <v>16</v>
      </c>
      <c r="B60" s="80" t="s">
        <v>367</v>
      </c>
      <c r="C60" s="32">
        <v>1590514400571</v>
      </c>
      <c r="D60" s="16">
        <f t="shared" ca="1" si="11"/>
        <v>67</v>
      </c>
      <c r="E60" s="76">
        <f t="shared" si="12"/>
        <v>21684</v>
      </c>
      <c r="F60" s="30" t="s">
        <v>368</v>
      </c>
      <c r="G60" s="37">
        <v>135</v>
      </c>
      <c r="H60" s="30" t="s">
        <v>369</v>
      </c>
      <c r="I60" s="34" t="s">
        <v>370</v>
      </c>
      <c r="J60" s="35" t="s">
        <v>371</v>
      </c>
      <c r="K60" s="33">
        <v>570118400184</v>
      </c>
      <c r="L60" s="33" t="s">
        <v>372</v>
      </c>
      <c r="M60" s="34" t="s">
        <v>370</v>
      </c>
      <c r="N60" s="88">
        <v>728602765</v>
      </c>
      <c r="O60" s="48" t="s">
        <v>389</v>
      </c>
      <c r="P60" s="111" t="s">
        <v>161</v>
      </c>
    </row>
    <row r="61" spans="1:17" ht="19.350000000000001" customHeight="1">
      <c r="A61" s="112">
        <v>17</v>
      </c>
      <c r="B61" s="43" t="s">
        <v>162</v>
      </c>
      <c r="C61" s="72">
        <v>1530330400354</v>
      </c>
      <c r="D61" s="16">
        <f t="shared" ca="1" si="11"/>
        <v>73</v>
      </c>
      <c r="E61" s="76">
        <f t="shared" si="12"/>
        <v>19448</v>
      </c>
      <c r="F61" s="19" t="s">
        <v>163</v>
      </c>
      <c r="G61" s="19">
        <v>384</v>
      </c>
      <c r="H61" s="19" t="s">
        <v>352</v>
      </c>
      <c r="I61" s="18" t="s">
        <v>164</v>
      </c>
      <c r="J61" s="20" t="s">
        <v>165</v>
      </c>
      <c r="K61" s="16">
        <v>2860107410045</v>
      </c>
      <c r="L61" s="19" t="s">
        <v>166</v>
      </c>
      <c r="M61" s="18" t="s">
        <v>167</v>
      </c>
      <c r="N61" s="42">
        <v>761096475</v>
      </c>
      <c r="O61" s="48" t="s">
        <v>397</v>
      </c>
      <c r="P61" s="1" t="s">
        <v>398</v>
      </c>
    </row>
    <row r="62" spans="1:17" ht="19.350000000000001" customHeight="1">
      <c r="A62" s="112">
        <v>18</v>
      </c>
      <c r="B62" s="43" t="s">
        <v>175</v>
      </c>
      <c r="C62" s="72">
        <v>1580318400380</v>
      </c>
      <c r="D62" s="16">
        <f t="shared" ca="1" si="11"/>
        <v>68</v>
      </c>
      <c r="E62" s="76">
        <f t="shared" si="12"/>
        <v>21262</v>
      </c>
      <c r="F62" s="19" t="s">
        <v>176</v>
      </c>
      <c r="G62" s="116">
        <v>404</v>
      </c>
      <c r="H62" s="26" t="s">
        <v>400</v>
      </c>
      <c r="I62" s="18" t="s">
        <v>177</v>
      </c>
      <c r="J62" s="20" t="s">
        <v>178</v>
      </c>
      <c r="K62" s="16">
        <v>1880920440018</v>
      </c>
      <c r="L62" s="19" t="s">
        <v>179</v>
      </c>
      <c r="M62" s="18" t="s">
        <v>180</v>
      </c>
      <c r="N62" s="42">
        <v>768482433</v>
      </c>
      <c r="O62" s="48" t="s">
        <v>409</v>
      </c>
      <c r="P62" s="1" t="s">
        <v>298</v>
      </c>
    </row>
    <row r="63" spans="1:17" ht="19.350000000000001" customHeight="1">
      <c r="A63" s="112">
        <v>19</v>
      </c>
      <c r="B63" s="87" t="s">
        <v>52</v>
      </c>
      <c r="C63" s="73">
        <v>2410226280018</v>
      </c>
      <c r="D63" s="40">
        <f t="shared" ca="1" si="11"/>
        <v>85</v>
      </c>
      <c r="E63" s="119">
        <f t="shared" si="12"/>
        <v>15033</v>
      </c>
      <c r="F63" s="46" t="s">
        <v>83</v>
      </c>
      <c r="G63" s="117">
        <v>3</v>
      </c>
      <c r="H63" s="46" t="s">
        <v>38</v>
      </c>
      <c r="I63" s="45" t="s">
        <v>84</v>
      </c>
      <c r="J63" s="15" t="s">
        <v>85</v>
      </c>
      <c r="K63" s="40">
        <v>1621213400541</v>
      </c>
      <c r="L63" s="46" t="s">
        <v>86</v>
      </c>
      <c r="M63" s="45" t="s">
        <v>87</v>
      </c>
      <c r="N63" s="120" t="s">
        <v>88</v>
      </c>
      <c r="O63" s="48" t="s">
        <v>410</v>
      </c>
      <c r="P63" s="1" t="s">
        <v>298</v>
      </c>
    </row>
    <row r="64" spans="1:17" ht="19.350000000000001" customHeight="1">
      <c r="A64" s="112">
        <v>20</v>
      </c>
      <c r="B64" s="43" t="s">
        <v>401</v>
      </c>
      <c r="C64" s="73">
        <v>1330326400336</v>
      </c>
      <c r="D64" s="16">
        <f t="shared" ca="1" si="11"/>
        <v>93</v>
      </c>
      <c r="E64" s="76">
        <f t="shared" si="12"/>
        <v>12139</v>
      </c>
      <c r="F64" s="46" t="s">
        <v>402</v>
      </c>
      <c r="G64" s="117">
        <v>172</v>
      </c>
      <c r="H64" s="49" t="s">
        <v>403</v>
      </c>
      <c r="I64" s="18" t="s">
        <v>404</v>
      </c>
      <c r="J64" s="20" t="s">
        <v>405</v>
      </c>
      <c r="K64" s="16">
        <v>2741030461512</v>
      </c>
      <c r="L64" s="19" t="s">
        <v>406</v>
      </c>
      <c r="M64" s="18" t="s">
        <v>407</v>
      </c>
      <c r="N64" s="44" t="s">
        <v>408</v>
      </c>
      <c r="O64" s="48" t="s">
        <v>416</v>
      </c>
      <c r="P64" s="111" t="s">
        <v>161</v>
      </c>
    </row>
    <row r="65" spans="1:16" ht="19.350000000000001" customHeight="1">
      <c r="A65" s="112">
        <v>21</v>
      </c>
      <c r="B65" s="80" t="s">
        <v>358</v>
      </c>
      <c r="C65" s="16">
        <v>1430321400144</v>
      </c>
      <c r="D65" s="16">
        <f t="shared" ca="1" si="11"/>
        <v>83</v>
      </c>
      <c r="E65" s="76">
        <f t="shared" si="12"/>
        <v>15786</v>
      </c>
      <c r="F65" s="30" t="s">
        <v>359</v>
      </c>
      <c r="G65" s="37">
        <v>112</v>
      </c>
      <c r="H65" s="30" t="s">
        <v>360</v>
      </c>
      <c r="I65" s="34" t="s">
        <v>361</v>
      </c>
      <c r="J65" s="35" t="s">
        <v>362</v>
      </c>
      <c r="K65" s="33">
        <v>2670727463045</v>
      </c>
      <c r="L65" s="1" t="s">
        <v>363</v>
      </c>
      <c r="M65" s="34" t="s">
        <v>361</v>
      </c>
      <c r="N65" s="34"/>
      <c r="O65" s="48" t="s">
        <v>416</v>
      </c>
      <c r="P65" s="1" t="s">
        <v>298</v>
      </c>
    </row>
    <row r="66" spans="1:16" ht="19.350000000000001" customHeight="1">
      <c r="A66" s="112">
        <v>22</v>
      </c>
      <c r="B66" s="43" t="s">
        <v>430</v>
      </c>
      <c r="C66" s="73">
        <v>2540125400152</v>
      </c>
      <c r="D66" s="16">
        <f t="shared" ca="1" si="11"/>
        <v>72</v>
      </c>
      <c r="E66" s="76">
        <f t="shared" si="12"/>
        <v>19749</v>
      </c>
      <c r="F66" s="46" t="s">
        <v>431</v>
      </c>
      <c r="G66" s="117">
        <v>220</v>
      </c>
      <c r="H66" s="49" t="s">
        <v>432</v>
      </c>
      <c r="I66" s="18" t="s">
        <v>433</v>
      </c>
      <c r="J66" s="20" t="s">
        <v>434</v>
      </c>
      <c r="K66" s="16">
        <v>1760522451525</v>
      </c>
      <c r="L66" s="19" t="s">
        <v>435</v>
      </c>
      <c r="M66" s="18" t="s">
        <v>433</v>
      </c>
      <c r="N66" s="44" t="s">
        <v>436</v>
      </c>
      <c r="O66" s="48" t="s">
        <v>437</v>
      </c>
      <c r="P66" s="1" t="s">
        <v>438</v>
      </c>
    </row>
    <row r="67" spans="1:16" ht="19.350000000000001" customHeight="1">
      <c r="A67" s="112">
        <v>23</v>
      </c>
      <c r="B67" s="43" t="s">
        <v>255</v>
      </c>
      <c r="C67" s="16">
        <v>1410911400381</v>
      </c>
      <c r="D67" s="16">
        <f t="shared" ref="D67:D72" ca="1" si="13">DATEDIF(DATE(MID(C67,2,2),MID(C67,4,2),MID(C67,6,2)),TODAY(),"y")</f>
        <v>84</v>
      </c>
      <c r="E67" s="76">
        <f t="shared" ref="E67:E72" si="14">DATE(IF(LEFT(C67,1)*1&lt;=2,MID(C67,2,2),MID(C67,2,2)+100),MID(C67,4,2),MID(C67,6,2))</f>
        <v>15230</v>
      </c>
      <c r="F67" s="19" t="s">
        <v>257</v>
      </c>
      <c r="G67" s="116">
        <v>14</v>
      </c>
      <c r="H67" s="26" t="s">
        <v>339</v>
      </c>
      <c r="I67" s="18" t="s">
        <v>258</v>
      </c>
      <c r="J67" s="20" t="s">
        <v>256</v>
      </c>
      <c r="K67" s="16">
        <v>2671225461532</v>
      </c>
      <c r="L67" s="19" t="s">
        <v>252</v>
      </c>
      <c r="M67" s="18" t="s">
        <v>253</v>
      </c>
      <c r="N67" s="42">
        <v>722886163</v>
      </c>
      <c r="O67" s="125" t="s">
        <v>457</v>
      </c>
      <c r="P67" s="111" t="s">
        <v>161</v>
      </c>
    </row>
    <row r="68" spans="1:16" ht="19.350000000000001" customHeight="1">
      <c r="A68" s="112">
        <v>24</v>
      </c>
      <c r="B68" s="78" t="s">
        <v>57</v>
      </c>
      <c r="C68" s="75">
        <v>2700118461513</v>
      </c>
      <c r="D68" s="16">
        <f t="shared" ca="1" si="13"/>
        <v>56</v>
      </c>
      <c r="E68" s="76">
        <f t="shared" si="14"/>
        <v>25586</v>
      </c>
      <c r="F68" s="61" t="s">
        <v>105</v>
      </c>
      <c r="G68" s="118">
        <v>8</v>
      </c>
      <c r="H68" s="61" t="s">
        <v>276</v>
      </c>
      <c r="I68" s="47" t="s">
        <v>106</v>
      </c>
      <c r="J68" s="35" t="s">
        <v>107</v>
      </c>
      <c r="K68" s="33">
        <v>1980525460085</v>
      </c>
      <c r="L68" s="30" t="s">
        <v>108</v>
      </c>
      <c r="M68" s="47" t="s">
        <v>109</v>
      </c>
      <c r="N68" s="82"/>
      <c r="O68" s="48" t="s">
        <v>458</v>
      </c>
      <c r="P68" s="111" t="s">
        <v>161</v>
      </c>
    </row>
    <row r="69" spans="1:16" ht="19.350000000000001" customHeight="1">
      <c r="A69" s="112">
        <v>25</v>
      </c>
      <c r="B69" s="43" t="s">
        <v>448</v>
      </c>
      <c r="C69" s="73">
        <v>2350103400098</v>
      </c>
      <c r="D69" s="16">
        <f t="shared" ca="1" si="13"/>
        <v>91</v>
      </c>
      <c r="E69" s="76">
        <f t="shared" si="14"/>
        <v>12787</v>
      </c>
      <c r="F69" s="46" t="s">
        <v>417</v>
      </c>
      <c r="G69" s="117">
        <v>196</v>
      </c>
      <c r="H69" s="49" t="s">
        <v>410</v>
      </c>
      <c r="I69" s="18" t="s">
        <v>418</v>
      </c>
      <c r="J69" s="20" t="s">
        <v>419</v>
      </c>
      <c r="K69" s="16"/>
      <c r="L69" s="19" t="s">
        <v>420</v>
      </c>
      <c r="M69" s="18" t="s">
        <v>421</v>
      </c>
      <c r="N69" s="44" t="s">
        <v>422</v>
      </c>
      <c r="O69" s="48" t="s">
        <v>496</v>
      </c>
      <c r="P69" s="1" t="s">
        <v>495</v>
      </c>
    </row>
    <row r="70" spans="1:16" ht="19.350000000000001" customHeight="1">
      <c r="A70" s="112">
        <v>26</v>
      </c>
      <c r="B70" s="43" t="s">
        <v>383</v>
      </c>
      <c r="C70" s="16">
        <v>1520531400057</v>
      </c>
      <c r="D70" s="16">
        <f t="shared" ca="1" si="13"/>
        <v>74</v>
      </c>
      <c r="E70" s="76">
        <f t="shared" si="14"/>
        <v>19145</v>
      </c>
      <c r="F70" s="48" t="s">
        <v>384</v>
      </c>
      <c r="G70" s="112">
        <v>155</v>
      </c>
      <c r="H70" s="19" t="s">
        <v>385</v>
      </c>
      <c r="I70" s="1" t="s">
        <v>386</v>
      </c>
      <c r="J70" s="39" t="s">
        <v>387</v>
      </c>
      <c r="K70" s="16">
        <v>1770129431531</v>
      </c>
      <c r="L70" s="1" t="s">
        <v>388</v>
      </c>
      <c r="M70" s="1" t="s">
        <v>386</v>
      </c>
      <c r="N70" s="60">
        <v>773787532</v>
      </c>
      <c r="O70" s="48" t="s">
        <v>497</v>
      </c>
      <c r="P70" s="111" t="s">
        <v>161</v>
      </c>
    </row>
    <row r="71" spans="1:16" ht="19.350000000000001" customHeight="1">
      <c r="A71" s="112">
        <v>27</v>
      </c>
      <c r="B71" s="43" t="s">
        <v>449</v>
      </c>
      <c r="C71" s="73">
        <v>1551201400506</v>
      </c>
      <c r="D71" s="16">
        <f t="shared" ca="1" si="13"/>
        <v>70</v>
      </c>
      <c r="E71" s="76">
        <f t="shared" si="14"/>
        <v>20424</v>
      </c>
      <c r="F71" s="46" t="s">
        <v>450</v>
      </c>
      <c r="G71" s="117">
        <v>238</v>
      </c>
      <c r="H71" s="49" t="s">
        <v>451</v>
      </c>
      <c r="I71" s="18" t="s">
        <v>452</v>
      </c>
      <c r="J71" s="20" t="s">
        <v>453</v>
      </c>
      <c r="K71" s="16">
        <v>2970410430041</v>
      </c>
      <c r="L71" s="19" t="s">
        <v>454</v>
      </c>
      <c r="M71" s="18" t="s">
        <v>455</v>
      </c>
      <c r="N71" s="44" t="s">
        <v>456</v>
      </c>
      <c r="O71" s="48" t="s">
        <v>503</v>
      </c>
      <c r="P71" s="111" t="s">
        <v>161</v>
      </c>
    </row>
    <row r="72" spans="1:16" ht="19.350000000000001" customHeight="1">
      <c r="A72" s="112">
        <v>28</v>
      </c>
      <c r="B72" s="43" t="s">
        <v>423</v>
      </c>
      <c r="C72" s="73">
        <v>1461124400327</v>
      </c>
      <c r="D72" s="16">
        <f t="shared" ca="1" si="13"/>
        <v>79</v>
      </c>
      <c r="E72" s="76">
        <f t="shared" si="14"/>
        <v>17130</v>
      </c>
      <c r="F72" s="46" t="s">
        <v>424</v>
      </c>
      <c r="G72" s="117">
        <v>210</v>
      </c>
      <c r="H72" s="49" t="s">
        <v>425</v>
      </c>
      <c r="I72" s="18" t="s">
        <v>426</v>
      </c>
      <c r="J72" s="20" t="s">
        <v>427</v>
      </c>
      <c r="K72" s="16">
        <v>2540403400511</v>
      </c>
      <c r="L72" s="19" t="s">
        <v>428</v>
      </c>
      <c r="M72" s="18" t="s">
        <v>426</v>
      </c>
      <c r="N72" s="44" t="s">
        <v>429</v>
      </c>
      <c r="O72" s="48" t="s">
        <v>506</v>
      </c>
      <c r="P72" s="1" t="s">
        <v>298</v>
      </c>
    </row>
    <row r="73" spans="1:16" ht="19.350000000000001" customHeight="1">
      <c r="A73" s="112">
        <v>29</v>
      </c>
      <c r="B73" s="43" t="s">
        <v>249</v>
      </c>
      <c r="C73" s="16">
        <v>2431103400541</v>
      </c>
      <c r="D73" s="16">
        <f ca="1">DATEDIF(DATE(MID(C73,2,2),MID(C73,4,2),MID(C73,6,2)),TODAY(),"y")</f>
        <v>82</v>
      </c>
      <c r="E73" s="76">
        <f>DATE(IF(LEFT(C73,1)*1&lt;=2,MID(C73,2,2),MID(C73,2,2)+100),MID(C73,4,2),MID(C73,6,2))</f>
        <v>16013</v>
      </c>
      <c r="F73" s="19" t="s">
        <v>250</v>
      </c>
      <c r="G73" s="116">
        <v>522</v>
      </c>
      <c r="H73" s="26" t="s">
        <v>338</v>
      </c>
      <c r="I73" s="19" t="s">
        <v>251</v>
      </c>
      <c r="J73" s="20" t="s">
        <v>256</v>
      </c>
      <c r="K73" s="16">
        <v>2671225461532</v>
      </c>
      <c r="L73" s="19" t="s">
        <v>530</v>
      </c>
      <c r="M73" s="18" t="s">
        <v>253</v>
      </c>
      <c r="N73" s="42">
        <v>722886163</v>
      </c>
      <c r="O73" s="48" t="s">
        <v>541</v>
      </c>
      <c r="P73" s="1" t="s">
        <v>161</v>
      </c>
    </row>
    <row r="74" spans="1:16" ht="19.350000000000001" customHeight="1">
      <c r="A74" s="112">
        <v>30</v>
      </c>
      <c r="B74" s="43" t="s">
        <v>390</v>
      </c>
      <c r="C74" s="73">
        <v>24505123841999</v>
      </c>
      <c r="D74" s="16">
        <f ca="1">DATEDIF(DATE(MID(C74,2,2),MID(C74,4,2),MID(C74,6,2)),TODAY(),"y")</f>
        <v>81</v>
      </c>
      <c r="E74" s="76">
        <f>DATE(IF(LEFT(C74,1)*1&lt;=2,MID(C74,2,2),MID(C74,2,2)+100),MID(C74,4,2),MID(C74,6,2))</f>
        <v>16569</v>
      </c>
      <c r="F74" s="46" t="s">
        <v>391</v>
      </c>
      <c r="G74" s="117">
        <v>167</v>
      </c>
      <c r="H74" s="49" t="s">
        <v>392</v>
      </c>
      <c r="I74" s="19" t="s">
        <v>393</v>
      </c>
      <c r="J74" s="20" t="s">
        <v>394</v>
      </c>
      <c r="K74" s="16">
        <v>2390527400599</v>
      </c>
      <c r="L74" s="19" t="s">
        <v>395</v>
      </c>
      <c r="M74" s="18" t="s">
        <v>393</v>
      </c>
      <c r="N74" s="44" t="s">
        <v>396</v>
      </c>
      <c r="O74" s="48" t="s">
        <v>544</v>
      </c>
      <c r="P74" s="1" t="s">
        <v>298</v>
      </c>
    </row>
    <row r="75" spans="1:16" ht="19.350000000000001" customHeight="1">
      <c r="A75" s="112">
        <v>31</v>
      </c>
      <c r="B75" s="43" t="s">
        <v>511</v>
      </c>
      <c r="C75" s="73">
        <v>2551207400352</v>
      </c>
      <c r="D75" s="16">
        <f ca="1">DATEDIF(DATE(MID(C75,2,2),MID(C75,4,2),MID(C75,6,2)),TODAY(),"y")</f>
        <v>70</v>
      </c>
      <c r="E75" s="76">
        <f>DATE(IF(LEFT(C75,1)*1&lt;=2,MID(C75,2,2),MID(C75,2,2)+100),MID(C75,4,2),MID(C75,6,2))</f>
        <v>20430</v>
      </c>
      <c r="F75" s="46" t="s">
        <v>512</v>
      </c>
      <c r="G75" s="117">
        <v>315</v>
      </c>
      <c r="H75" s="49" t="s">
        <v>518</v>
      </c>
      <c r="I75" s="19" t="s">
        <v>513</v>
      </c>
      <c r="J75" s="20" t="s">
        <v>514</v>
      </c>
      <c r="K75" s="16">
        <v>1750726471011</v>
      </c>
      <c r="L75" s="19" t="s">
        <v>515</v>
      </c>
      <c r="M75" s="18" t="s">
        <v>516</v>
      </c>
      <c r="N75" s="44" t="s">
        <v>517</v>
      </c>
      <c r="O75" s="48" t="s">
        <v>545</v>
      </c>
      <c r="P75" s="1" t="s">
        <v>161</v>
      </c>
    </row>
    <row r="76" spans="1:16" ht="19.350000000000001" customHeight="1">
      <c r="A76" s="112">
        <v>32</v>
      </c>
      <c r="B76" s="43" t="s">
        <v>181</v>
      </c>
      <c r="C76" s="72">
        <v>1680210214600</v>
      </c>
      <c r="D76" s="16">
        <f ca="1">DATEDIF(DATE(MID(C76,2,2),MID(C76,4,2),MID(C76,6,2)),TODAY(),"y")</f>
        <v>58</v>
      </c>
      <c r="E76" s="76">
        <f>DATE(IF(LEFT(C76,1)*1&lt;=2,MID(C76,2,2),MID(C76,2,2)+100),MID(C76,4,2),MID(C76,6,2))</f>
        <v>24878</v>
      </c>
      <c r="F76" s="19" t="s">
        <v>182</v>
      </c>
      <c r="G76" s="116">
        <v>421</v>
      </c>
      <c r="H76" s="26" t="s">
        <v>335</v>
      </c>
      <c r="I76" s="19" t="s">
        <v>183</v>
      </c>
      <c r="J76" s="20" t="s">
        <v>184</v>
      </c>
      <c r="K76" s="16">
        <v>2910905460059</v>
      </c>
      <c r="L76" s="19" t="s">
        <v>185</v>
      </c>
      <c r="M76" s="18" t="s">
        <v>183</v>
      </c>
      <c r="N76" s="42">
        <v>771618260</v>
      </c>
      <c r="O76" s="48" t="s">
        <v>553</v>
      </c>
      <c r="P76" s="1" t="s">
        <v>161</v>
      </c>
    </row>
    <row r="77" spans="1:16" ht="19.350000000000001" customHeight="1">
      <c r="A77" s="112">
        <v>33</v>
      </c>
      <c r="B77" s="15" t="s">
        <v>534</v>
      </c>
      <c r="C77" s="40">
        <v>2400928400062</v>
      </c>
      <c r="D77" s="16">
        <f ca="1">DATEDIF(DATE(MID(C77,2,2),MID(C77,4,2),MID(C77,6,2)),TODAY(),"y")</f>
        <v>85</v>
      </c>
      <c r="E77" s="76">
        <f>DATE(IF(LEFT(C77,1)*1&lt;=2,MID(C77,2,2),MID(C77,2,2)+100),MID(C77,4,2),MID(C77,6,2))</f>
        <v>14882</v>
      </c>
      <c r="F77" s="45" t="s">
        <v>535</v>
      </c>
      <c r="G77" s="117">
        <v>321</v>
      </c>
      <c r="H77" s="46" t="s">
        <v>533</v>
      </c>
      <c r="I77" s="18" t="s">
        <v>532</v>
      </c>
      <c r="J77" s="138" t="s">
        <v>529</v>
      </c>
      <c r="K77" s="41">
        <v>2620820400031</v>
      </c>
      <c r="L77" s="19" t="s">
        <v>531</v>
      </c>
      <c r="M77" s="18" t="s">
        <v>532</v>
      </c>
      <c r="N77" s="139" t="s">
        <v>528</v>
      </c>
      <c r="O77" s="48" t="s">
        <v>554</v>
      </c>
      <c r="P77" s="1" t="s">
        <v>161</v>
      </c>
    </row>
    <row r="78" spans="1:16" ht="19.350000000000001" customHeight="1">
      <c r="A78" s="112">
        <v>34</v>
      </c>
      <c r="B78" s="43" t="s">
        <v>259</v>
      </c>
      <c r="C78" s="73">
        <v>2410809400421</v>
      </c>
      <c r="D78" s="16">
        <f t="shared" ref="D78" ca="1" si="15">DATEDIF(DATE(MID(C78,2,2),MID(C78,4,2),MID(C78,6,2)),TODAY(),"y")</f>
        <v>84</v>
      </c>
      <c r="E78" s="76">
        <f t="shared" ref="E78" si="16">DATE(IF(LEFT(C78,1)*1&lt;=2,MID(C78,2,2),MID(C78,2,2)+100),MID(C78,4,2),MID(C78,6,2))</f>
        <v>15197</v>
      </c>
      <c r="F78" s="46" t="s">
        <v>546</v>
      </c>
      <c r="G78" s="117">
        <v>344</v>
      </c>
      <c r="H78" s="49" t="s">
        <v>547</v>
      </c>
      <c r="I78" s="19" t="s">
        <v>548</v>
      </c>
      <c r="J78" s="20" t="s">
        <v>549</v>
      </c>
      <c r="K78" s="16">
        <v>1740930451515</v>
      </c>
      <c r="L78" s="19" t="s">
        <v>550</v>
      </c>
      <c r="M78" s="18" t="s">
        <v>551</v>
      </c>
      <c r="N78" s="44" t="s">
        <v>552</v>
      </c>
      <c r="O78" s="48" t="s">
        <v>571</v>
      </c>
      <c r="P78" s="1" t="s">
        <v>572</v>
      </c>
    </row>
    <row r="79" spans="1:16" ht="19.350000000000001" customHeight="1">
      <c r="A79" s="112">
        <v>35</v>
      </c>
      <c r="B79" s="15" t="s">
        <v>467</v>
      </c>
      <c r="C79" s="16">
        <v>1530903400083</v>
      </c>
      <c r="D79" s="16">
        <f ca="1">DATEDIF(DATE(MID(C79,2,2),MID(C79,4,2),MID(C79,6,2)),TODAY(),"y")</f>
        <v>72</v>
      </c>
      <c r="E79" s="17">
        <f>DATE(IF(LEFT(C79,1)*1&lt;=2,MID(C79,2,2),MID(C79,2,2)+100),MID(C79,4,2),MID(C79,6,2))</f>
        <v>19605</v>
      </c>
      <c r="F79" s="19" t="s">
        <v>468</v>
      </c>
      <c r="G79" s="116">
        <v>184</v>
      </c>
      <c r="H79" s="19" t="s">
        <v>469</v>
      </c>
      <c r="I79" s="19" t="s">
        <v>470</v>
      </c>
      <c r="J79" s="20"/>
      <c r="K79" s="163"/>
      <c r="L79" s="1"/>
      <c r="M79" s="1"/>
      <c r="N79" s="1"/>
      <c r="O79" s="48" t="s">
        <v>571</v>
      </c>
      <c r="P79" s="1" t="s">
        <v>573</v>
      </c>
    </row>
  </sheetData>
  <sortState xmlns:xlrd2="http://schemas.microsoft.com/office/spreadsheetml/2017/richdata2" ref="B4:Q40">
    <sortCondition ref="B3:B40"/>
  </sortState>
  <phoneticPr fontId="1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Tabel benef + apartinatori</vt:lpstr>
      <vt:lpstr>'Tabel benef + apartinatori'!_Hlk198743197</vt:lpstr>
      <vt:lpstr>'Tabel benef + apartinatori'!_Hlk199267302</vt:lpstr>
      <vt:lpstr>'Tabel benef + apartinatori'!_Hlk199600504</vt:lpstr>
      <vt:lpstr>'Tabel benef + apartinatori'!_Hlk200288009</vt:lpstr>
      <vt:lpstr>'Tabel benef + apartinatori'!_Hlk202005485</vt:lpstr>
      <vt:lpstr>'Tabel benef + apartinatori'!_Hlk217390779</vt:lpstr>
      <vt:lpstr>'Tabel benef + apartinatori'!_Hlk221538890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Beniamin Caraulasu</dc:creator>
  <cp:lastModifiedBy>Pc</cp:lastModifiedBy>
  <cp:lastPrinted>2026-04-16T10:58:23Z</cp:lastPrinted>
  <dcterms:created xsi:type="dcterms:W3CDTF">2024-06-10T19:29:00Z</dcterms:created>
  <dcterms:modified xsi:type="dcterms:W3CDTF">2026-07-24T16:47:13Z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B3E6F54C15C3402ABAB445B034CE32D9_12</vt:lpwstr>
  </property>
  <property fmtid="{D5CDD505-2E9C-101B-9397-08002B2CF9AE}" pid="3" name="KSOProductBuildVer">
    <vt:lpwstr>1033-12.2.0.17545</vt:lpwstr>
  </property>
</Properties>
</file>