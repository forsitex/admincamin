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Pc\Desktop\CĂMINE 2026\ORHIDEELOR\"/>
    </mc:Choice>
  </mc:AlternateContent>
  <xr:revisionPtr revIDLastSave="0" documentId="13_ncr:1_{6D08463D-DD15-4B95-AFC2-0EBDE68052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 benef + apartinatori" sheetId="1" r:id="rId1"/>
    <sheet name="Grade de dependenta" sheetId="2" r:id="rId2"/>
  </sheets>
  <definedNames>
    <definedName name="_Hlk203734156" localSheetId="0">'Tabel benef + apartinatori'!$B$42</definedName>
    <definedName name="_Hlk215939384" localSheetId="0">'Tabel benef + apartinatori'!#REF!</definedName>
    <definedName name="_Hlk216012084" localSheetId="0">'Tabel benef + apartinatori'!#REF!</definedName>
    <definedName name="_Hlk216864020" localSheetId="0">'Tabel benef + apartinatori'!#REF!</definedName>
    <definedName name="_Hlk219736196" localSheetId="0">'Tabel benef + apartinatori'!$B$9</definedName>
  </definedNames>
  <calcPr calcId="191029"/>
</workbook>
</file>

<file path=xl/calcChain.xml><?xml version="1.0" encoding="utf-8"?>
<calcChain xmlns="http://schemas.openxmlformats.org/spreadsheetml/2006/main">
  <c r="E8" i="1" l="1"/>
  <c r="F8" i="1"/>
  <c r="E4" i="1"/>
  <c r="F4" i="1"/>
  <c r="F53" i="1"/>
  <c r="E53" i="1"/>
  <c r="E54" i="1"/>
  <c r="F54" i="1"/>
  <c r="E24" i="1"/>
  <c r="F24" i="1"/>
  <c r="E55" i="1"/>
  <c r="F55" i="1"/>
  <c r="F14" i="1"/>
  <c r="E14" i="1"/>
  <c r="E51" i="1"/>
  <c r="F51" i="1"/>
  <c r="E17" i="1"/>
  <c r="F17" i="1"/>
  <c r="E52" i="1"/>
  <c r="F52" i="1"/>
  <c r="E7" i="1"/>
  <c r="F7" i="1"/>
  <c r="E49" i="1"/>
  <c r="F49" i="1"/>
  <c r="E15" i="1"/>
  <c r="F15" i="1"/>
  <c r="E56" i="1"/>
  <c r="F56" i="1"/>
  <c r="F22" i="1"/>
  <c r="E22" i="1"/>
  <c r="F47" i="1" l="1"/>
  <c r="E47" i="1"/>
  <c r="E23" i="1"/>
  <c r="F23" i="1"/>
  <c r="E46" i="1"/>
  <c r="F46" i="1"/>
  <c r="E45" i="1"/>
  <c r="F45" i="1"/>
  <c r="E44" i="1"/>
  <c r="F44" i="1"/>
  <c r="E27" i="1"/>
  <c r="F27" i="1"/>
  <c r="F50" i="1"/>
  <c r="E50" i="1"/>
  <c r="F6" i="1" l="1"/>
  <c r="E6" i="1"/>
  <c r="E16" i="1"/>
  <c r="F16" i="1"/>
  <c r="E43" i="1"/>
  <c r="F43" i="1"/>
  <c r="E40" i="1"/>
  <c r="F40" i="1"/>
  <c r="F20" i="1"/>
  <c r="E20" i="1"/>
  <c r="E9" i="1"/>
  <c r="F9" i="1"/>
  <c r="F39" i="1"/>
  <c r="E39" i="1"/>
  <c r="E41" i="1"/>
  <c r="F41" i="1"/>
  <c r="F33" i="1"/>
  <c r="F36" i="1"/>
  <c r="E36" i="1"/>
  <c r="E35" i="1"/>
  <c r="E34" i="1"/>
  <c r="E33" i="1"/>
  <c r="E5" i="1"/>
  <c r="F5" i="1"/>
  <c r="E10" i="1"/>
  <c r="F10" i="1"/>
  <c r="E37" i="1"/>
  <c r="F37" i="1"/>
  <c r="E38" i="1" l="1"/>
  <c r="F38" i="1"/>
  <c r="E21" i="1"/>
  <c r="F21" i="1"/>
  <c r="F25" i="1"/>
  <c r="F26" i="1"/>
  <c r="E25" i="1"/>
  <c r="E26" i="1"/>
  <c r="F28" i="1" l="1"/>
  <c r="E28" i="1"/>
  <c r="F13" i="1"/>
  <c r="E13" i="1"/>
  <c r="F3" i="1"/>
  <c r="E3" i="1"/>
  <c r="F48" i="1"/>
  <c r="E48" i="1"/>
  <c r="F19" i="1"/>
  <c r="E19" i="1"/>
  <c r="F18" i="1"/>
  <c r="E18" i="1"/>
  <c r="F42" i="1"/>
  <c r="E42" i="1"/>
  <c r="F12" i="1"/>
  <c r="E12" i="1"/>
  <c r="F11" i="1"/>
  <c r="E11" i="1"/>
</calcChain>
</file>

<file path=xl/sharedStrings.xml><?xml version="1.0" encoding="utf-8"?>
<sst xmlns="http://schemas.openxmlformats.org/spreadsheetml/2006/main" count="635" uniqueCount="463">
  <si>
    <t>Nr Crt</t>
  </si>
  <si>
    <t>Nume si prenume</t>
  </si>
  <si>
    <t>CNP</t>
  </si>
  <si>
    <t>Varsta</t>
  </si>
  <si>
    <t>Zi nastere</t>
  </si>
  <si>
    <t>Serie si nr CI</t>
  </si>
  <si>
    <t>Andrei Aurica</t>
  </si>
  <si>
    <t>Argeșeanu Floarea</t>
  </si>
  <si>
    <t>Berilă Marin</t>
  </si>
  <si>
    <t>Constantin Gheorghe</t>
  </si>
  <si>
    <t>Damian Constantin</t>
  </si>
  <si>
    <t>David Ion</t>
  </si>
  <si>
    <t>Dudea Constantin</t>
  </si>
  <si>
    <t>Dumitrache Costel</t>
  </si>
  <si>
    <t>Ghebaru Ion</t>
  </si>
  <si>
    <t>Gropoșilă Aurica</t>
  </si>
  <si>
    <t>Ionescu Petru Sebastian</t>
  </si>
  <si>
    <t>Luca Ioana</t>
  </si>
  <si>
    <t>Marian Ana Maria</t>
  </si>
  <si>
    <t>Matei Gheorghița</t>
  </si>
  <si>
    <t>Merlă Florea</t>
  </si>
  <si>
    <t>Mihai Constantin</t>
  </si>
  <si>
    <t>Mușat Andrei</t>
  </si>
  <si>
    <t>Nenciu Ion</t>
  </si>
  <si>
    <t>Petroi Dumitra</t>
  </si>
  <si>
    <t>Popa Vasilina</t>
  </si>
  <si>
    <t>Rășniceru Ioana</t>
  </si>
  <si>
    <t>Șandru Ion</t>
  </si>
  <si>
    <t>Soare Stelian</t>
  </si>
  <si>
    <t>Ștefan Victoria</t>
  </si>
  <si>
    <t>Trușcă Ion</t>
  </si>
  <si>
    <t>Tudor Gabriela Rusalca</t>
  </si>
  <si>
    <t>Țuică Anișor</t>
  </si>
  <si>
    <t>Ioniță Lenuța</t>
  </si>
  <si>
    <t>Ciocănel Anton</t>
  </si>
  <si>
    <t>Dima Florica</t>
  </si>
  <si>
    <t>Grade de dependenta</t>
  </si>
  <si>
    <t>I C</t>
  </si>
  <si>
    <t>I B</t>
  </si>
  <si>
    <t>II A</t>
  </si>
  <si>
    <t>I A</t>
  </si>
  <si>
    <t xml:space="preserve">Gall Ana </t>
  </si>
  <si>
    <t>Corman Nicolae</t>
  </si>
  <si>
    <t>II C</t>
  </si>
  <si>
    <t>Neagu Elena</t>
  </si>
  <si>
    <t>EXTERNĂRI</t>
  </si>
  <si>
    <t>DATA EXTERNĂRII</t>
  </si>
  <si>
    <t>EXTERNAT/TRANSFERAT/DECEDAT</t>
  </si>
  <si>
    <t>Data internare</t>
  </si>
  <si>
    <t>Nr. contract</t>
  </si>
  <si>
    <t>Adresa</t>
  </si>
  <si>
    <t>Nume si prenume aparținător</t>
  </si>
  <si>
    <t>Nr.crt.</t>
  </si>
  <si>
    <t>Nr . telefon</t>
  </si>
  <si>
    <t>Nr. telefon</t>
  </si>
  <si>
    <t>IIB</t>
  </si>
  <si>
    <t>IIIA</t>
  </si>
  <si>
    <t>IIC</t>
  </si>
  <si>
    <t>IIA</t>
  </si>
  <si>
    <t>IB</t>
  </si>
  <si>
    <t>GRADE DEPENDENȚĂ</t>
  </si>
  <si>
    <t>CERTIFICAT DE HANDICAP</t>
  </si>
  <si>
    <t>TUTORE</t>
  </si>
  <si>
    <t>EXTERNAT</t>
  </si>
  <si>
    <t>SPAS</t>
  </si>
  <si>
    <t>contact@dgaspc4.ro, Bucuresti, Sector 4, B-dul Metalurgiei, Nr. 12-18, 0372 756 313</t>
  </si>
  <si>
    <t>office@dgaspc3.ro, Adresa: Strada Parfumului, nr. 2-4, Sector 3, 0372126100;   0213410713</t>
  </si>
  <si>
    <t>office@dgaspc6.com, Aleea Istru 4B, București 061912, 0316 208 017</t>
  </si>
  <si>
    <t>NU ARE</t>
  </si>
  <si>
    <t>02.01.2026</t>
  </si>
  <si>
    <t>ANĂNUȚEI TEODOR</t>
  </si>
  <si>
    <t>CIMBRESCU MARIANA</t>
  </si>
  <si>
    <t>DINU MARIA</t>
  </si>
  <si>
    <t>II B</t>
  </si>
  <si>
    <t>DUMITRACHE COSTEL</t>
  </si>
  <si>
    <t>ENESCU STANCA-ILEANA</t>
  </si>
  <si>
    <t xml:space="preserve">GOGA AUREL </t>
  </si>
  <si>
    <t>GOLOGAN DOINA</t>
  </si>
  <si>
    <t>IACOB ELENA</t>
  </si>
  <si>
    <t>MARIN IOANA</t>
  </si>
  <si>
    <t>NEDELCU MARIA</t>
  </si>
  <si>
    <t>IC</t>
  </si>
  <si>
    <t>PÂRVU LINA</t>
  </si>
  <si>
    <t>PERIANU ORTANSA</t>
  </si>
  <si>
    <t>RADU ION</t>
  </si>
  <si>
    <t>ROMAN MARIAN</t>
  </si>
  <si>
    <t>ȘTEFĂNESCU CONSTANTIN</t>
  </si>
  <si>
    <t>TRUPINĂ FLOREA</t>
  </si>
  <si>
    <t>VULTUR EMILIA</t>
  </si>
  <si>
    <t>BADEA OTILIA</t>
  </si>
  <si>
    <t>PR  Nr. 427584</t>
  </si>
  <si>
    <t>19.08.2025</t>
  </si>
  <si>
    <t>București, Sector 2, Bd. Chișinău, nr.12, bl. B22, Sc.2, Et. 3, Ap. 73</t>
  </si>
  <si>
    <t>ANĂNUȚEI ANA-TEODORA</t>
  </si>
  <si>
    <t>RZ Nr. 152226</t>
  </si>
  <si>
    <t>București, Sector 3, Str. Cîmpineanca, Nr.2</t>
  </si>
  <si>
    <t>773795278 (prieten); 0721886335 (fiica); 0723927086(frate)</t>
  </si>
  <si>
    <t>RX nr.515791</t>
  </si>
  <si>
    <t>05.09.2024</t>
  </si>
  <si>
    <t>BUCUREȘTI, sector 1, str.AIUD, nr.73</t>
  </si>
  <si>
    <t>TĂNĂSELEA ALEXANDRA</t>
  </si>
  <si>
    <t>RX nr.896085</t>
  </si>
  <si>
    <t>BUCURESTI, sector 1, str.AIUD, nr.73</t>
  </si>
  <si>
    <t>0741523229</t>
  </si>
  <si>
    <t>CH Nr.536/13.03.2024 grav cu asistent personal, 2 ani</t>
  </si>
  <si>
    <t>registratura@dgaspc-sectorul1.ro; prestatii.dezabilitatii@dgaspc-sectorul1.ro, Bdul. Mareșal Averescu nr.17, Sector 1, București, 212234197</t>
  </si>
  <si>
    <t>KL nr. 139374</t>
  </si>
  <si>
    <t>25.08.2025</t>
  </si>
  <si>
    <t>Călărași, Mun. Călărași, Str. Plevna, nr.60</t>
  </si>
  <si>
    <t>TUDOR DUMITRU</t>
  </si>
  <si>
    <t>RD nr. 960563</t>
  </si>
  <si>
    <t>București, Sector 3, Ale. Buhuși nr.1 bl.4 sc.1 et.2 ap.15</t>
  </si>
  <si>
    <t>RR nr.598532</t>
  </si>
  <si>
    <t>15.03.2025</t>
  </si>
  <si>
    <t>BUCUREȘTI, sec.4, șos GIURGIULUI, nr.120, bl.13, sc.1, et.11, ap.54</t>
  </si>
  <si>
    <t>BR nr.699288</t>
  </si>
  <si>
    <t>BUCUREȘTI, sector 1, Str. Radu Boiangiu, nr.8</t>
  </si>
  <si>
    <t>ENESCU ADRIAN-VICTOR</t>
  </si>
  <si>
    <t>RK nr.408894</t>
  </si>
  <si>
    <t>BUCUREȘTI, sector 6, str. Valea Oltului, nr.16, bl.A28, sc. F, et.1, ap.80</t>
  </si>
  <si>
    <t>0742936475</t>
  </si>
  <si>
    <t>SZ nr.599247</t>
  </si>
  <si>
    <t>15.11.2024</t>
  </si>
  <si>
    <t>Ialomița, Sat. Gârbovi com. Gârbovi, Str. Salcâmilor nr.8</t>
  </si>
  <si>
    <t>GOIE CRISTINA IULIANA</t>
  </si>
  <si>
    <t>RK nr.628580</t>
  </si>
  <si>
    <t>BUCUREȘTI, Sector 3, Sos Mihai Bravunr. 45 bl. V7, sc.1, et.3, ap.15</t>
  </si>
  <si>
    <t>0722549738</t>
  </si>
  <si>
    <t>primgarbovi@yahoo.com, Ialomița, Comuna Gârbovi, Str. Primăriei, nr.38, 243259070</t>
  </si>
  <si>
    <t>PR nr.292978</t>
  </si>
  <si>
    <t>06.12.2024</t>
  </si>
  <si>
    <t>BUCUREȘTI. Sec. 3, Str. Istriei, nr.22, bl. D3, ap.35</t>
  </si>
  <si>
    <t>DE nr. 403341</t>
  </si>
  <si>
    <t>01.04.2025</t>
  </si>
  <si>
    <t xml:space="preserve">București, Sector 6, Str. Odgonului nr.3 bl. 134 sc.2 et.5 ap.88 </t>
  </si>
  <si>
    <t>IACOB CONSTANTIN</t>
  </si>
  <si>
    <t>RZ nr.209746</t>
  </si>
  <si>
    <t>București, Sector 6, Str. Ion Manolescu nr.4 bl.131 sc.1 et. 10 ap. 50,</t>
  </si>
  <si>
    <t>726762172; 0744355873</t>
  </si>
  <si>
    <t xml:space="preserve">CH Nr.3600/17.10.2024 grav cu asistent personal,12 luni </t>
  </si>
  <si>
    <t>DK nr.286391</t>
  </si>
  <si>
    <t>22.07.2025</t>
  </si>
  <si>
    <t>Jud. Buzău, Com. Cochirleanca</t>
  </si>
  <si>
    <t>MARIN ADRIAN-GEORGE</t>
  </si>
  <si>
    <t>RK nr.923243</t>
  </si>
  <si>
    <t>București, Sec. 6, Int. Sg. Constantin Ghercu nr.9 sc.1 ap. 2</t>
  </si>
  <si>
    <t>RT nr.824672</t>
  </si>
  <si>
    <t>17.02.2025</t>
  </si>
  <si>
    <t>BUCUREȘTI, sect. 6, str. Ghirlandei, nr. 1, bl N13, sc. 5, et. 2, ap 68</t>
  </si>
  <si>
    <t>NEDELCU DORU</t>
  </si>
  <si>
    <t>RK nr.647944</t>
  </si>
  <si>
    <t>0722558064</t>
  </si>
  <si>
    <t>IF nr.143755</t>
  </si>
  <si>
    <t>Ilfov, com. Balotești, sat Săftica, str. calea București, nr. 68</t>
  </si>
  <si>
    <t>FLOREA MIHAELA</t>
  </si>
  <si>
    <t>RX nr.828406</t>
  </si>
  <si>
    <t>BUCUREȘTI, sect. 4, str. șos Vitan Bârzești, nr. 7D, bloc. 3, sc. A, et. 8, ap. 327</t>
  </si>
  <si>
    <t>0723300089</t>
  </si>
  <si>
    <t>XR nr. 507246</t>
  </si>
  <si>
    <t>21.06.2025</t>
  </si>
  <si>
    <t>Brăila, Mun. Brăila, Ale. Cocorilor, Nr.10, Bl.E3, Sc.6, Et.2, Ap.346</t>
  </si>
  <si>
    <t>PERIANU GINA</t>
  </si>
  <si>
    <t>XR nr.661861</t>
  </si>
  <si>
    <t>Brăila, Mun. Brăila, Ale. Culturii, Nr. 2-4, Bl.7, Sc.7, Et.3, Ap.134</t>
  </si>
  <si>
    <t>0722308981(nepoata); 0729121385(fiica)</t>
  </si>
  <si>
    <t>CH Nr.5013/05.10.2016, grav cu asistent personal, permanent</t>
  </si>
  <si>
    <t>registratura@dasbraila.ro; secretariat@dasbraila.ro, Brăila, strada Școlilor, nr.64, 239629322</t>
  </si>
  <si>
    <t>RT nr.313005</t>
  </si>
  <si>
    <t>București, Sector 4, Str. Voila, nr. 7, bl. 33, sc.C, et.1, ap. 35</t>
  </si>
  <si>
    <t>CAIZER AURICA</t>
  </si>
  <si>
    <t>RK nr.776415</t>
  </si>
  <si>
    <t>BUCURESTI, sector 6, str.VALEA LUNGA, nr.12, bl.Z4, sc.2, et.2, ap.30</t>
  </si>
  <si>
    <t>0722455780</t>
  </si>
  <si>
    <t>CH Nr.597/17.02.2025, grav cu asistent personal, permanent</t>
  </si>
  <si>
    <t>RZ nr. 007196</t>
  </si>
  <si>
    <t>28.12.2025</t>
  </si>
  <si>
    <t>București, Sec.6, Drm.Taberei, nr.39, bl.OS4, sc3, et.3, ap.94</t>
  </si>
  <si>
    <t>PASCU ANA-CRISTINA</t>
  </si>
  <si>
    <t>RK nr. 338548</t>
  </si>
  <si>
    <t>RX nr. 635546</t>
  </si>
  <si>
    <t>04.06.2025</t>
  </si>
  <si>
    <t>București, Sector 5, Str. Dumbrava Nouă, nr.4, bl. M79, sc.1, et.2, ap.11</t>
  </si>
  <si>
    <t>MIHAI FLORICA</t>
  </si>
  <si>
    <t>RK nr. 014084</t>
  </si>
  <si>
    <t>pnenciulesti@yahoo.com, Teleorman, Comuna Nenciulești, 247330961</t>
  </si>
  <si>
    <t>TR nr.293502</t>
  </si>
  <si>
    <t>12.06.2025</t>
  </si>
  <si>
    <t>Teleorman, Com. Nenciulești, Sat. Păru Rotund</t>
  </si>
  <si>
    <t xml:space="preserve">VLAD MARIANA </t>
  </si>
  <si>
    <t>TR nr. 794316</t>
  </si>
  <si>
    <t>Teleorman, Mun. Alexandria, Str. Tudor Vladimirescu, bl. F12, sc.A, et.3, ap.15</t>
  </si>
  <si>
    <t>CH Nr.4035/2022 grav cu asistent personal, permanent</t>
  </si>
  <si>
    <t>RT nr. 702785</t>
  </si>
  <si>
    <t>17.06.2025</t>
  </si>
  <si>
    <t>București, Sec.6, Str. Drumul Taberei nr.74 bl. M37 et. 4 ap.46</t>
  </si>
  <si>
    <t>VULTUR AURELIAN</t>
  </si>
  <si>
    <t>RK nr. 353388</t>
  </si>
  <si>
    <t>București, Sec.6, Ale. Dealul Măcinului, nr.8, bl.D38, sc.1, et.2, ap.127</t>
  </si>
  <si>
    <t>0728862274; 0722426660</t>
  </si>
  <si>
    <t>RT nr.687408</t>
  </si>
  <si>
    <t>07.01.2026</t>
  </si>
  <si>
    <t>București, Sector 5,  Str. Dumbrava Nouă, nr.7, bl.M17, sc. 1, et.8, ap.50</t>
  </si>
  <si>
    <t>BADEA MARIA-MAGDALENA</t>
  </si>
  <si>
    <t>RZ nr.314618</t>
  </si>
  <si>
    <t>PREDUȚĂ DORU-GHEORGHE</t>
  </si>
  <si>
    <t xml:space="preserve">MANOLACHE PETRE </t>
  </si>
  <si>
    <t>RX nr. 660332</t>
  </si>
  <si>
    <t>17.04.2025</t>
  </si>
  <si>
    <t>București, Sector 1, Calea Griviței, nr.198, bl.B, sc.B, et.6, ap.50</t>
  </si>
  <si>
    <t>PREDUȚĂ ADRIANA</t>
  </si>
  <si>
    <t>RK nr. 277830</t>
  </si>
  <si>
    <t>0721312188</t>
  </si>
  <si>
    <t>RK nr.251149</t>
  </si>
  <si>
    <t>13.03.2025</t>
  </si>
  <si>
    <t>BUCUREȘTI sec 5,str. Baciului, nr.14,bl.9,sc.2,et.3,ap.34</t>
  </si>
  <si>
    <t>MANOLACHE IONUȚ-CRISTINEL</t>
  </si>
  <si>
    <t>RK nr.616042</t>
  </si>
  <si>
    <t>BUCUREȘTI sec 5.str BACIULUI.nr.14.bl.9.sc.2.et.3.ap.34</t>
  </si>
  <si>
    <t>13.07.2025</t>
  </si>
  <si>
    <t>STĂNESCU ZOIA</t>
  </si>
  <si>
    <t>RD nr. 488704</t>
  </si>
  <si>
    <t>București, Sec.6, Str. TÎrgu Neamț, nr.18, bl. D3, et. 3 ap.38</t>
  </si>
  <si>
    <t>DINU GABRIELA-MIHAELA</t>
  </si>
  <si>
    <t>RK nr. 568205</t>
  </si>
  <si>
    <t>București, Sec.6, Str. Târgu Neamț, nr.18, bl. D3, et. 3 ap.38</t>
  </si>
  <si>
    <t>DECES SPITALUL UNIVERSITAR BUCUREȘTI</t>
  </si>
  <si>
    <t xml:space="preserve">STROE PETRA  </t>
  </si>
  <si>
    <t xml:space="preserve">DS nr. 334601 </t>
  </si>
  <si>
    <t>03.01.2026</t>
  </si>
  <si>
    <t xml:space="preserve">Giurgiu, Comuna Toporu, Sat Tomulești </t>
  </si>
  <si>
    <t>STROE CORNEL</t>
  </si>
  <si>
    <t xml:space="preserve">RK nr. 613787 </t>
  </si>
  <si>
    <t>București, Sector 5, Str. Oltului, nr.4</t>
  </si>
  <si>
    <t>10.01.2026</t>
  </si>
  <si>
    <t>NENCIU AURELIA</t>
  </si>
  <si>
    <t>RT nr. 592110</t>
  </si>
  <si>
    <t>06.01.2026</t>
  </si>
  <si>
    <t>București, Sector 5, Str. Ion Urdăreanu, nr. 5, bl. P41, sc.2, et.3, ap. 37</t>
  </si>
  <si>
    <t>VASILE BOGDAN-CĂTĂLIN</t>
  </si>
  <si>
    <t>IF Nr. 666810</t>
  </si>
  <si>
    <t>Sat.Domnești(Com.Domnești), Jud.Ilfov, Str.Chimirului, nr. 8A</t>
  </si>
  <si>
    <t>13.01.2026</t>
  </si>
  <si>
    <t>18.01.2026</t>
  </si>
  <si>
    <t>ISTRATE GHIORGHIȚA</t>
  </si>
  <si>
    <t>IF nr.533061</t>
  </si>
  <si>
    <t>19.01.2026</t>
  </si>
  <si>
    <t>Ilfov, Comuna Dragomirești Vale, Str.Micșunelelor, nr.89</t>
  </si>
  <si>
    <t>GRIGORE NUȚI</t>
  </si>
  <si>
    <t>IF nr.923861</t>
  </si>
  <si>
    <t>Ilfov, Sat. Rudeni (Oraș Chitila), Str. Dacia, nr.34</t>
  </si>
  <si>
    <t>CRISTESCU VICTORIA</t>
  </si>
  <si>
    <t>BD nr.941323</t>
  </si>
  <si>
    <t>Jud.Prahova, Ploiești,  Str. Gheorghe Țițeica, nr.15</t>
  </si>
  <si>
    <t>CRISTESCU DANIEL-IONUȚ</t>
  </si>
  <si>
    <t>PR nr.360721</t>
  </si>
  <si>
    <t xml:space="preserve"> Jud.Ilfov, Orș.Otopeni, Str. Mesteacănului, nr.6/49, ap.1</t>
  </si>
  <si>
    <t>DECES, ORA 02.00</t>
  </si>
  <si>
    <t>27.01.2026</t>
  </si>
  <si>
    <t>MORCOAȘE RADIAN</t>
  </si>
  <si>
    <t>TR nr. 809837</t>
  </si>
  <si>
    <t>29.01.2026</t>
  </si>
  <si>
    <t>Teleorman, Mun.Alexandria, Str.Tudor Vladimirescu, nr.64bis</t>
  </si>
  <si>
    <t>CH Nr.4884/09.03.2006, grav cu asistent personal, permanent</t>
  </si>
  <si>
    <t>30.01.2026</t>
  </si>
  <si>
    <t>TRANSFER FORTUNEI</t>
  </si>
  <si>
    <t>DUMITRU VICTORIA</t>
  </si>
  <si>
    <t>IF nr. 864821</t>
  </si>
  <si>
    <t>31.01.2026</t>
  </si>
  <si>
    <t>Ilfov, Orș. Bragadiru, Șos. Centurii, nr.5-7</t>
  </si>
  <si>
    <t>DUMITRU MARIO-ROBERT</t>
  </si>
  <si>
    <t>IF nr. 611292</t>
  </si>
  <si>
    <t>Ilfov, Orș. Bragadiru, Șos. Alexandriei, nr.484, bl. P21, sc.1, e.2, ap.8</t>
  </si>
  <si>
    <t>asistentasociala@primariaorasbragadiru.ro, oraș Bragadiru, șos. Alexandriei, nr.249, județ Ilfov, 214480795</t>
  </si>
  <si>
    <t>NICULAE MARIA</t>
  </si>
  <si>
    <t>IF nr.443351</t>
  </si>
  <si>
    <t>Ilfov, Sat.Clinceni(Com.Clinceni), Str. Monumentul Eroilor, nr.43</t>
  </si>
  <si>
    <t>ANIȚI ELENA</t>
  </si>
  <si>
    <t>IF nr.120088</t>
  </si>
  <si>
    <t>București, Sec.6, Str.Ale.Valea Viilor, nr.1, bl.M34, sc.A, et.9, ap.55</t>
  </si>
  <si>
    <t>primariaclinceni@yahoo.com, Clinceni, str.Principală, nr.107A, 786099925</t>
  </si>
  <si>
    <t>ROGOBETE GRIGORE</t>
  </si>
  <si>
    <t>BN nr.080042</t>
  </si>
  <si>
    <t>București, Sector 1, Str. Gării de Nord, nr.6-8, ap.58</t>
  </si>
  <si>
    <t>TUDOR FLORIN</t>
  </si>
  <si>
    <t>RK nr.670409</t>
  </si>
  <si>
    <t>București, Sector 1, Str. Gării de Nord, nr.6-8, bl.A, sc.2, et.7, ap.67</t>
  </si>
  <si>
    <t>0728222108; 0750433473; +31621817002</t>
  </si>
  <si>
    <t>CORNICIUC TEODOR</t>
  </si>
  <si>
    <t>AS nr. 800493</t>
  </si>
  <si>
    <t>Argeș, Mun. Pitești, Bdul Frații Golești, nr.102, bl.S10, sc.C, ap.13</t>
  </si>
  <si>
    <t>SAMOILĂ RODICA-MONICA</t>
  </si>
  <si>
    <t>IF nr. 925471</t>
  </si>
  <si>
    <t>Ilfov, Sat. Dudu (Com. Chiajna), Str. Soarelui, nr.29, bl.1, et.6, ap.55</t>
  </si>
  <si>
    <t>0786255010</t>
  </si>
  <si>
    <t>dasp@dasp.ro, Pitești, Bdul Republicii, nr. 117B, bl D5B, parter, 372030420</t>
  </si>
  <si>
    <t>EFTIMIE MIHAI</t>
  </si>
  <si>
    <t>RD nr.806106</t>
  </si>
  <si>
    <t>București, Sector 6, Str. Cap.Petre Mișcă, nr.5, bl. M18, sc.1, et.1, ap.9</t>
  </si>
  <si>
    <t>AVRAMESCU DUMITRA</t>
  </si>
  <si>
    <t>București, Sector 6, Str. Pietrele Doamnei, nr.33</t>
  </si>
  <si>
    <t>07.02.2026</t>
  </si>
  <si>
    <t>RZ nr. 186702</t>
  </si>
  <si>
    <t xml:space="preserve">FRĂȚILĂ LAURA </t>
  </si>
  <si>
    <t>RX nr. 869221</t>
  </si>
  <si>
    <t>București, Sector 6, Str. Pietrele Doamnei, nr.3</t>
  </si>
  <si>
    <t>office@dgaspc5.ro, Str. Fabrica de Chibrituri nr. 9-11, sector 5, 21310</t>
  </si>
  <si>
    <t>03.02.2026</t>
  </si>
  <si>
    <t>București, Sector 5,  Str. Dumbrava Nouă, nr.7, bl.M17, sc.1, et.8, ap.50</t>
  </si>
  <si>
    <t>BĂCESCU CONSTANTIN</t>
  </si>
  <si>
    <t>RT nr. 528125</t>
  </si>
  <si>
    <t>11.02.2026</t>
  </si>
  <si>
    <t>București, Sector 4, Str. Leon Vodă, nr.20, ap.1</t>
  </si>
  <si>
    <t>DÎMBOI CORINA-LUMINIȚA</t>
  </si>
  <si>
    <t>RX nr. 878912</t>
  </si>
  <si>
    <t>București, Sector 6, Prl. Ghencea, nr.34, bl.M7, sc.1, et.8, ap.113</t>
  </si>
  <si>
    <t>VÎLCEA ION</t>
  </si>
  <si>
    <t>XR nr. 441786</t>
  </si>
  <si>
    <t>10.02.2026</t>
  </si>
  <si>
    <t>Brăila, Mun. Brăila, Str. Siret, nr.6, bl.S2, sc.1, et.2, ap.11</t>
  </si>
  <si>
    <t xml:space="preserve">VÎLCEA MĂDĂLIN-VALENTIN </t>
  </si>
  <si>
    <t>IF nr. 513631</t>
  </si>
  <si>
    <t>Ilfov, Sat Vidra(Comuna Vidra), Cal.București, nr.120</t>
  </si>
  <si>
    <t>12.02.2026</t>
  </si>
  <si>
    <t>DECES</t>
  </si>
  <si>
    <t>13.02.2026</t>
  </si>
  <si>
    <t>ROMAN DAN-CRISTIAN</t>
  </si>
  <si>
    <t xml:space="preserve">RK nr. 544218 </t>
  </si>
  <si>
    <t>București, Sector 2, Bd.Ferdinand I, nr.44, et.3, ap.5</t>
  </si>
  <si>
    <t xml:space="preserve">ROMAN RADU-VALENTIN </t>
  </si>
  <si>
    <t xml:space="preserve">RT nr. 770954 </t>
  </si>
  <si>
    <t>București, Sector 4, Str.Moldoveni, nr.8 , bl.55, sc.4, et.2, ap.53</t>
  </si>
  <si>
    <t>social@social2.ro, Str. Olari nr. 15, 021252.22.02</t>
  </si>
  <si>
    <t>ÎN CURS</t>
  </si>
  <si>
    <t>CAIZER CONSTANTIN</t>
  </si>
  <si>
    <t>BG nr. 527005</t>
  </si>
  <si>
    <t>26.02.2026</t>
  </si>
  <si>
    <t>Comuna Drăgănești, Jud. Galați</t>
  </si>
  <si>
    <t>București, Sector 6, Str. Valea Lungă, nr.12, bl.Z4, sc.2, et.2, ap.30</t>
  </si>
  <si>
    <t>24.02.2026</t>
  </si>
  <si>
    <t>05.03.2026</t>
  </si>
  <si>
    <t>RĂDULESCU MARIEA</t>
  </si>
  <si>
    <t>DS nr469784</t>
  </si>
  <si>
    <t>RĂDULESCU CLAUDIU - ALEXANDRU</t>
  </si>
  <si>
    <t>OT nr. 908494</t>
  </si>
  <si>
    <t>Orș. Corabia, Județul Olt, str. Caraiman, nr.3,bl.E6, sc.1, et.2, ap.7</t>
  </si>
  <si>
    <t>0744473417</t>
  </si>
  <si>
    <t>07.03.2026</t>
  </si>
  <si>
    <t>Com. Ștefan Cel Mare, Județul Olt</t>
  </si>
  <si>
    <t>primaria_stefan@yahoo.com, Comuna Ștefan Cel Mare, jud. Olt, 0249538230</t>
  </si>
  <si>
    <t>15.03.2026</t>
  </si>
  <si>
    <t>MIU MARIA</t>
  </si>
  <si>
    <t>RT nr. 105475</t>
  </si>
  <si>
    <t>13.03.2026</t>
  </si>
  <si>
    <t>București, Sectorul 4, Bld. Constantin Brâncoveanu, nr.116, bl.MII/3, sc.2, et.4, ap.80</t>
  </si>
  <si>
    <t>MARINESCU ANGELA</t>
  </si>
  <si>
    <t>RK nr. 767575</t>
  </si>
  <si>
    <t>CĂRĂUȘU JINELA</t>
  </si>
  <si>
    <t>MIHAI RADU</t>
  </si>
  <si>
    <t>AO nr. 506064</t>
  </si>
  <si>
    <t>17.03.2026</t>
  </si>
  <si>
    <t>Sat. Țepu (Com. Țepu), Jud. Galați</t>
  </si>
  <si>
    <t>UNGUREANU CECILIA</t>
  </si>
  <si>
    <t>ZL nr. 148805</t>
  </si>
  <si>
    <t>RD nr. 838387</t>
  </si>
  <si>
    <t>Mun.București, Sector 2, Str. Fabrica de Gheață, nr.2, bl.84/II, sc.A, ap.3</t>
  </si>
  <si>
    <t xml:space="preserve">TOMA CRISTI-COSTEL </t>
  </si>
  <si>
    <t>RZ nr. 090463</t>
  </si>
  <si>
    <t>Mun.București, Sector 3, Bd. Mircea Vodă, nr.39, bl.M30, sc.3, et.4, ap.99</t>
  </si>
  <si>
    <t>ffice@dgaspc6.com, Aleea Istru 4B, București 061912, 0316 208 017</t>
  </si>
  <si>
    <t>București, Sector 4, Bd. Constantin Brâncoveanu, nr.10, bl.B3, sc.2, et.1, ap.39</t>
  </si>
  <si>
    <t>sediu@pblt, Ilfov, Comuna Balotești, Sat. Săftica, Calea București, nr.89, 213511092</t>
  </si>
  <si>
    <t>EXPIRAT</t>
  </si>
  <si>
    <t>0742119088; 0722461590</t>
  </si>
  <si>
    <t>Sat. Țepu (Com. Țepu), Str.Ștefan Cel Mare, nr.312, Jud. Galați</t>
  </si>
  <si>
    <t>CH Nr.6812/28.10.2020, grav cu asistent personal, permanent</t>
  </si>
  <si>
    <t>COSTEA MARIA</t>
  </si>
  <si>
    <t>KZ nr. 096866</t>
  </si>
  <si>
    <t>30.03.2026</t>
  </si>
  <si>
    <t>Constanța, Mun. Medgidia, Str. Independenței, nr.43, bl.49C, sc.B, et.2, ap.8</t>
  </si>
  <si>
    <t>COSTEA ADRIANA-MIHAELA</t>
  </si>
  <si>
    <t>KZ nr. 469413</t>
  </si>
  <si>
    <t>office@primaria-medgidia.ro, 0241812300, Medgidia, Str. Tudor Vladimirescu, nr.13</t>
  </si>
  <si>
    <t>26.04.2026</t>
  </si>
  <si>
    <t>ONIJA IONEL</t>
  </si>
  <si>
    <t>IF nr. 80102</t>
  </si>
  <si>
    <t>27.04.2026</t>
  </si>
  <si>
    <t>Ilfov, Sat. Glina (Com. Glina), Str. Viitorului, nr.5</t>
  </si>
  <si>
    <t>PĂSĂRICĂ CONSTANTIN-ANDREI</t>
  </si>
  <si>
    <t>1940504226778,</t>
  </si>
  <si>
    <t>RK nr. 334282</t>
  </si>
  <si>
    <t>București, Sector 3, Int. Bădeni, nr.7, bl.M61, sc.1, et.4, ap.17</t>
  </si>
  <si>
    <t>MIHU VICTORIA</t>
  </si>
  <si>
    <t>BZ nr. 040662</t>
  </si>
  <si>
    <t>București, Sector3, Șos. Mihai Bravu, nr.227, CORP 8A, apt.14</t>
  </si>
  <si>
    <t>contact@primaria-glina.ro, Ilfov, Com. Glina, str. Libertății, nr.292, 214671214</t>
  </si>
  <si>
    <t>11.05.2026</t>
  </si>
  <si>
    <t xml:space="preserve">DECES. ORA 22.30  </t>
  </si>
  <si>
    <t>NU NI L-A TRIMIS</t>
  </si>
  <si>
    <t xml:space="preserve">CH Nr.1813/06.04.2026, grav cu asistent personal,12 luni </t>
  </si>
  <si>
    <t>PĂDURARU NICOLAE</t>
  </si>
  <si>
    <t>PX nr.598595</t>
  </si>
  <si>
    <t>24.05.2026</t>
  </si>
  <si>
    <t>Prahova, Oraș Mizil, Str. Vadu Săpat, nr.14</t>
  </si>
  <si>
    <t>PĂDURARU CIPRIAN-COSTIN</t>
  </si>
  <si>
    <t>RK nr.522126</t>
  </si>
  <si>
    <t>București, Sector 3, Str. Prisaca Dornei, nr.8, bl.D6, sc.1, et.7, ap.144</t>
  </si>
  <si>
    <t>0721129458(fiica);0759518190 (fiu)</t>
  </si>
  <si>
    <t>contact@primariadragomirestivale.ro, Comuna Dragomirești-Vale, Str. Micșunelelor, nr.87, Județ Ilfov, 0214367106</t>
  </si>
  <si>
    <t>ZOTA NEAGU</t>
  </si>
  <si>
    <t>RX nr.454655</t>
  </si>
  <si>
    <t>07.06.2026</t>
  </si>
  <si>
    <t>București, Sector 6, Str. Vistiernicului Stavrinos, nr.28, bl.153A, sc.2, et.7, ap.90</t>
  </si>
  <si>
    <t>ZOTA MARIUS</t>
  </si>
  <si>
    <t>RZ nr.145655</t>
  </si>
  <si>
    <t>București, Sector 6, Bd. Timișoara, nr.43, bl.P13, sc.5, et.1, ap.87</t>
  </si>
  <si>
    <t>31.05.2026</t>
  </si>
  <si>
    <t>DECES. ORA 02.45</t>
  </si>
  <si>
    <t>06.06. 2026</t>
  </si>
  <si>
    <t>02.06.2026</t>
  </si>
  <si>
    <t>ȘOTÂRNEL ION</t>
  </si>
  <si>
    <t>BD nr. 381291</t>
  </si>
  <si>
    <t>10.06.2026</t>
  </si>
  <si>
    <t>Teleorman, Comuna Olteni</t>
  </si>
  <si>
    <t>ȘOTÂRNEL RUXANDRA-MIRELA</t>
  </si>
  <si>
    <t>TR nr. 725112</t>
  </si>
  <si>
    <t>TR, Sat. Olteni (Comuna Olteni), Str. Tudor Vladimirescu, nr.39</t>
  </si>
  <si>
    <t>ÎNSCRIS</t>
  </si>
  <si>
    <t>NEÎNSCRIS</t>
  </si>
  <si>
    <t>ÎNSCRIS/NEÎNSCRIS</t>
  </si>
  <si>
    <t>FLOREA MARIA</t>
  </si>
  <si>
    <t>DS nr. 842477</t>
  </si>
  <si>
    <t>09.06.2026</t>
  </si>
  <si>
    <t>Bucure;ti, Sector 5, Str. Sebastian, nr.137, Bl. V79, sc.2, parter, ap.37</t>
  </si>
  <si>
    <t>SILIȘTEANU MIHAIL</t>
  </si>
  <si>
    <t>RK nr.409583</t>
  </si>
  <si>
    <t>primariaolteni@yahoo.com, Comuna Olteni, Jud. Teleorman, 0247432118</t>
  </si>
  <si>
    <t>București, Sector 5, Str. Baltagului, nr.2, bl. V75, sc.1, et.8, ap.27</t>
  </si>
  <si>
    <t>11.06.2026</t>
  </si>
  <si>
    <t>IIIB</t>
  </si>
  <si>
    <t>CH Nr. DCH 2272/26.05.2025, permanent, grav cu asistent personal</t>
  </si>
  <si>
    <t>08.03.2026</t>
  </si>
  <si>
    <t>16.06.2026</t>
  </si>
  <si>
    <t>22.06.2026</t>
  </si>
  <si>
    <t>DECEDAT</t>
  </si>
  <si>
    <t>DECEDAT SUUB</t>
  </si>
  <si>
    <t>03.07.2026</t>
  </si>
  <si>
    <t>07.07.2026</t>
  </si>
  <si>
    <t>CHIȚU CORNELIU</t>
  </si>
  <si>
    <t>TR nr. 776603</t>
  </si>
  <si>
    <t>08.07.2026</t>
  </si>
  <si>
    <t>TR, Sat. Băcălești (Com. Călmățuiu de Sus), Str. Principală, nr.151</t>
  </si>
  <si>
    <t xml:space="preserve">CIORNEA CONSTANTIN </t>
  </si>
  <si>
    <t>RD nr. 878975</t>
  </si>
  <si>
    <t>secretar@primariacalmatuiudesus.ro, Com. Călmățuiu de Sus, Jud. Teleorman, 0247356211</t>
  </si>
  <si>
    <t>București, Sector 5, Șos. Alexandria, nr.15, bl.22, sc.3, et.1, ap.25</t>
  </si>
  <si>
    <t>RK nr. 873591</t>
  </si>
  <si>
    <t>12.07.2026</t>
  </si>
  <si>
    <t>DARIE MARIA</t>
  </si>
  <si>
    <t>București, Sector 5, Str. Cap. Petre Mișcă, nr.12, bl. M13, sc.3, et.1, ap.79</t>
  </si>
  <si>
    <t>ION ATHENA-LILIARITA</t>
  </si>
  <si>
    <t>IF nr. 993471</t>
  </si>
  <si>
    <t>Jud. Ilfov, Sat. Dudu  (Com. Chiajna), Str. Tineretului, nr.77C, sc.3, et.2, ap.68</t>
  </si>
  <si>
    <t>CH Nr.2735/26.10.2026, grav cu asistent personal, permanent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</si>
</sst>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\ mmm\ yyyy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1"/>
      <color rgb="FFFF0000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name val="Cambria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Cambria"/>
      <family val="1"/>
    </font>
    <font>
      <b/>
      <sz val="10"/>
      <name val="Cambria"/>
      <family val="1"/>
    </font>
    <font>
      <b/>
      <sz val="10"/>
      <color rgb="FFFF0000"/>
      <name val="Cambria"/>
      <family val="1"/>
    </font>
    <font>
      <sz val="10"/>
      <color theme="1"/>
      <name val="Georgia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rgb="FFFF0000"/>
      <name val="Cambria"/>
      <family val="1"/>
    </font>
    <font>
      <sz val="10"/>
      <name val="Georgia"/>
      <family val="1"/>
    </font>
    <font>
      <u/>
      <sz val="11"/>
      <name val="Calibri"/>
      <family val="2"/>
      <scheme val="minor"/>
    </font>
    <font>
      <u/>
      <sz val="10"/>
      <name val="Calibri"/>
      <family val="2"/>
      <scheme val="minor"/>
    </font>
    <font>
      <sz val="11"/>
      <color theme="10"/>
      <name val="Calibri"/>
      <family val="2"/>
      <charset val="238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2" fillId="0" borderId="0" xfId="0" applyFont="1"/>
    <xf numFmtId="164" fontId="8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left"/>
    </xf>
    <xf numFmtId="0" fontId="8" fillId="0" borderId="0" xfId="0" applyFont="1"/>
    <xf numFmtId="1" fontId="8" fillId="0" borderId="0" xfId="0" applyNumberFormat="1" applyFont="1" applyAlignment="1">
      <alignment horizontal="left"/>
    </xf>
    <xf numFmtId="0" fontId="9" fillId="0" borderId="1" xfId="0" applyFont="1" applyBorder="1"/>
    <xf numFmtId="0" fontId="9" fillId="0" borderId="0" xfId="0" applyFont="1"/>
    <xf numFmtId="1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left"/>
    </xf>
    <xf numFmtId="0" fontId="10" fillId="0" borderId="0" xfId="0" applyFont="1"/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0" fontId="8" fillId="5" borderId="1" xfId="0" applyFont="1" applyFill="1" applyBorder="1"/>
    <xf numFmtId="0" fontId="2" fillId="5" borderId="1" xfId="0" applyFont="1" applyFill="1" applyBorder="1" applyAlignment="1">
      <alignment horizontal="center" wrapText="1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2" fillId="5" borderId="4" xfId="0" applyFont="1" applyFill="1" applyBorder="1" applyAlignment="1">
      <alignment horizontal="center"/>
    </xf>
    <xf numFmtId="0" fontId="8" fillId="5" borderId="4" xfId="0" applyFont="1" applyFill="1" applyBorder="1"/>
    <xf numFmtId="1" fontId="14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2" fillId="5" borderId="1" xfId="0" applyFont="1" applyFill="1" applyBorder="1" applyAlignment="1">
      <alignment wrapText="1"/>
    </xf>
    <xf numFmtId="0" fontId="15" fillId="0" borderId="0" xfId="1" applyBorder="1" applyAlignment="1">
      <alignment wrapText="1"/>
    </xf>
    <xf numFmtId="1" fontId="13" fillId="0" borderId="1" xfId="0" applyNumberFormat="1" applyFont="1" applyBorder="1" applyAlignment="1">
      <alignment horizontal="center"/>
    </xf>
    <xf numFmtId="0" fontId="13" fillId="3" borderId="1" xfId="0" applyFont="1" applyFill="1" applyBorder="1"/>
    <xf numFmtId="0" fontId="19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13" fillId="0" borderId="1" xfId="0" applyNumberFormat="1" applyFont="1" applyBorder="1"/>
    <xf numFmtId="1" fontId="12" fillId="0" borderId="1" xfId="0" applyNumberFormat="1" applyFont="1" applyBorder="1" applyAlignment="1">
      <alignment horizontal="center" vertical="center"/>
    </xf>
    <xf numFmtId="0" fontId="13" fillId="0" borderId="1" xfId="2" applyFont="1" applyBorder="1"/>
    <xf numFmtId="164" fontId="12" fillId="0" borderId="1" xfId="2" applyNumberFormat="1" applyFont="1" applyBorder="1" applyAlignment="1">
      <alignment horizontal="center"/>
    </xf>
    <xf numFmtId="1" fontId="19" fillId="0" borderId="1" xfId="0" applyNumberFormat="1" applyFont="1" applyBorder="1" applyAlignment="1">
      <alignment horizontal="center"/>
    </xf>
    <xf numFmtId="0" fontId="13" fillId="0" borderId="3" xfId="0" applyFont="1" applyBorder="1"/>
    <xf numFmtId="1" fontId="14" fillId="0" borderId="3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" fontId="12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3" borderId="1" xfId="0" applyFont="1" applyFill="1" applyBorder="1"/>
    <xf numFmtId="0" fontId="12" fillId="0" borderId="1" xfId="0" applyFont="1" applyBorder="1" applyAlignment="1">
      <alignment wrapText="1"/>
    </xf>
    <xf numFmtId="14" fontId="12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1" fontId="19" fillId="0" borderId="1" xfId="0" applyNumberFormat="1" applyFont="1" applyBorder="1" applyAlignment="1">
      <alignment horizontal="left"/>
    </xf>
    <xf numFmtId="1" fontId="12" fillId="0" borderId="1" xfId="0" applyNumberFormat="1" applyFont="1" applyBorder="1"/>
    <xf numFmtId="1" fontId="14" fillId="0" borderId="1" xfId="0" applyNumberFormat="1" applyFont="1" applyBorder="1" applyAlignment="1">
      <alignment horizontal="left"/>
    </xf>
    <xf numFmtId="0" fontId="20" fillId="0" borderId="1" xfId="0" applyFont="1" applyBorder="1"/>
    <xf numFmtId="0" fontId="12" fillId="0" borderId="1" xfId="2" applyFont="1" applyBorder="1" applyAlignment="1">
      <alignment horizontal="center"/>
    </xf>
    <xf numFmtId="0" fontId="13" fillId="0" borderId="1" xfId="2" applyFont="1" applyBorder="1" applyAlignment="1">
      <alignment horizontal="left"/>
    </xf>
    <xf numFmtId="1" fontId="12" fillId="0" borderId="1" xfId="2" applyNumberFormat="1" applyFont="1" applyBorder="1" applyAlignment="1">
      <alignment horizontal="center"/>
    </xf>
    <xf numFmtId="0" fontId="16" fillId="0" borderId="1" xfId="0" applyFont="1" applyBorder="1" applyAlignment="1">
      <alignment wrapText="1"/>
    </xf>
    <xf numFmtId="0" fontId="14" fillId="0" borderId="3" xfId="0" applyFont="1" applyBorder="1" applyAlignment="1">
      <alignment horizontal="left"/>
    </xf>
    <xf numFmtId="0" fontId="19" fillId="0" borderId="3" xfId="0" applyFont="1" applyBorder="1" applyAlignment="1">
      <alignment horizontal="left"/>
    </xf>
    <xf numFmtId="0" fontId="14" fillId="0" borderId="1" xfId="0" applyFont="1" applyBorder="1" applyAlignment="1">
      <alignment wrapText="1"/>
    </xf>
    <xf numFmtId="1" fontId="19" fillId="0" borderId="3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" xfId="0" applyFont="1" applyBorder="1"/>
    <xf numFmtId="0" fontId="14" fillId="0" borderId="0" xfId="0" applyFont="1"/>
    <xf numFmtId="0" fontId="19" fillId="3" borderId="1" xfId="0" applyFont="1" applyFill="1" applyBorder="1" applyAlignment="1">
      <alignment horizontal="right" vertical="top"/>
    </xf>
    <xf numFmtId="0" fontId="19" fillId="0" borderId="1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8" fillId="0" borderId="4" xfId="0" applyFont="1" applyBorder="1"/>
    <xf numFmtId="0" fontId="19" fillId="3" borderId="1" xfId="0" applyFont="1" applyFill="1" applyBorder="1" applyAlignment="1">
      <alignment horizontal="center" vertical="top"/>
    </xf>
    <xf numFmtId="0" fontId="19" fillId="0" borderId="1" xfId="0" applyFont="1" applyBorder="1"/>
    <xf numFmtId="165" fontId="14" fillId="0" borderId="1" xfId="0" applyNumberFormat="1" applyFont="1" applyBorder="1" applyAlignment="1">
      <alignment horizontal="left"/>
    </xf>
    <xf numFmtId="0" fontId="22" fillId="0" borderId="1" xfId="0" applyFont="1" applyBorder="1"/>
    <xf numFmtId="0" fontId="20" fillId="0" borderId="1" xfId="0" applyFont="1" applyBorder="1" applyAlignment="1">
      <alignment wrapText="1"/>
    </xf>
    <xf numFmtId="1" fontId="7" fillId="3" borderId="1" xfId="0" applyNumberFormat="1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left"/>
    </xf>
    <xf numFmtId="0" fontId="14" fillId="3" borderId="1" xfId="0" applyFont="1" applyFill="1" applyBorder="1"/>
    <xf numFmtId="0" fontId="9" fillId="3" borderId="0" xfId="0" applyFont="1" applyFill="1" applyAlignment="1">
      <alignment horizontal="center" vertical="top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1" fontId="14" fillId="3" borderId="0" xfId="0" applyNumberFormat="1" applyFont="1" applyFill="1" applyAlignment="1">
      <alignment horizontal="center"/>
    </xf>
    <xf numFmtId="165" fontId="14" fillId="3" borderId="0" xfId="0" applyNumberFormat="1" applyFont="1" applyFill="1" applyAlignment="1">
      <alignment horizontal="left"/>
    </xf>
    <xf numFmtId="0" fontId="1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14" fontId="12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wrapText="1"/>
    </xf>
    <xf numFmtId="0" fontId="2" fillId="3" borderId="0" xfId="0" applyFont="1" applyFill="1"/>
    <xf numFmtId="1" fontId="8" fillId="3" borderId="0" xfId="0" applyNumberFormat="1" applyFont="1" applyFill="1" applyAlignment="1">
      <alignment horizontal="center"/>
    </xf>
    <xf numFmtId="0" fontId="8" fillId="3" borderId="0" xfId="0" applyFont="1" applyFill="1"/>
    <xf numFmtId="0" fontId="8" fillId="3" borderId="0" xfId="0" applyFont="1" applyFill="1" applyAlignment="1">
      <alignment horizontal="left"/>
    </xf>
    <xf numFmtId="0" fontId="11" fillId="3" borderId="0" xfId="0" applyFont="1" applyFill="1" applyAlignment="1">
      <alignment horizontal="center" vertical="top"/>
    </xf>
    <xf numFmtId="0" fontId="18" fillId="3" borderId="0" xfId="0" applyFont="1" applyFill="1" applyAlignment="1">
      <alignment wrapText="1"/>
    </xf>
    <xf numFmtId="0" fontId="15" fillId="3" borderId="0" xfId="1" applyFill="1" applyBorder="1" applyAlignment="1">
      <alignment wrapText="1"/>
    </xf>
    <xf numFmtId="165" fontId="14" fillId="0" borderId="3" xfId="0" applyNumberFormat="1" applyFont="1" applyBorder="1" applyAlignment="1">
      <alignment horizontal="left"/>
    </xf>
    <xf numFmtId="0" fontId="13" fillId="0" borderId="0" xfId="0" applyFont="1"/>
    <xf numFmtId="164" fontId="12" fillId="0" borderId="0" xfId="0" applyNumberFormat="1" applyFont="1" applyAlignment="1">
      <alignment horizontal="left"/>
    </xf>
    <xf numFmtId="1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left"/>
    </xf>
    <xf numFmtId="0" fontId="12" fillId="0" borderId="0" xfId="0" applyFont="1"/>
    <xf numFmtId="1" fontId="12" fillId="0" borderId="0" xfId="0" applyNumberFormat="1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49" fontId="12" fillId="0" borderId="1" xfId="2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left"/>
    </xf>
    <xf numFmtId="164" fontId="14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1" fontId="14" fillId="3" borderId="1" xfId="0" applyNumberFormat="1" applyFont="1" applyFill="1" applyBorder="1" applyAlignment="1">
      <alignment horizontal="center"/>
    </xf>
    <xf numFmtId="49" fontId="14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wrapText="1"/>
    </xf>
    <xf numFmtId="1" fontId="14" fillId="0" borderId="1" xfId="0" applyNumberFormat="1" applyFont="1" applyBorder="1"/>
    <xf numFmtId="0" fontId="23" fillId="0" borderId="1" xfId="0" applyFont="1" applyBorder="1"/>
    <xf numFmtId="0" fontId="7" fillId="0" borderId="1" xfId="0" applyFont="1" applyBorder="1" applyAlignment="1">
      <alignment horizontal="left"/>
    </xf>
    <xf numFmtId="0" fontId="13" fillId="0" borderId="2" xfId="2" applyFont="1" applyBorder="1" applyAlignment="1">
      <alignment horizontal="center"/>
    </xf>
    <xf numFmtId="164" fontId="12" fillId="0" borderId="2" xfId="2" applyNumberFormat="1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0" fontId="12" fillId="0" borderId="0" xfId="2" applyFont="1" applyAlignment="1">
      <alignment horizontal="left"/>
    </xf>
    <xf numFmtId="0" fontId="13" fillId="0" borderId="2" xfId="2" applyFont="1" applyBorder="1" applyAlignment="1">
      <alignment horizontal="left"/>
    </xf>
    <xf numFmtId="1" fontId="12" fillId="0" borderId="2" xfId="2" applyNumberFormat="1" applyFont="1" applyBorder="1" applyAlignment="1">
      <alignment horizontal="center"/>
    </xf>
    <xf numFmtId="0" fontId="12" fillId="0" borderId="2" xfId="2" applyFont="1" applyBorder="1"/>
    <xf numFmtId="1" fontId="19" fillId="0" borderId="1" xfId="0" applyNumberFormat="1" applyFont="1" applyBorder="1"/>
    <xf numFmtId="0" fontId="22" fillId="0" borderId="1" xfId="0" applyFont="1" applyBorder="1" applyAlignment="1">
      <alignment horizontal="center"/>
    </xf>
    <xf numFmtId="0" fontId="21" fillId="0" borderId="1" xfId="0" applyFont="1" applyBorder="1"/>
    <xf numFmtId="0" fontId="14" fillId="0" borderId="1" xfId="2" applyFont="1" applyBorder="1" applyAlignment="1">
      <alignment horizontal="left"/>
    </xf>
    <xf numFmtId="165" fontId="12" fillId="0" borderId="1" xfId="0" applyNumberFormat="1" applyFont="1" applyBorder="1" applyAlignment="1">
      <alignment horizontal="center"/>
    </xf>
    <xf numFmtId="0" fontId="25" fillId="0" borderId="1" xfId="0" applyFont="1" applyBorder="1"/>
    <xf numFmtId="0" fontId="7" fillId="0" borderId="1" xfId="0" applyFont="1" applyBorder="1" applyAlignment="1">
      <alignment wrapText="1"/>
    </xf>
    <xf numFmtId="0" fontId="26" fillId="0" borderId="1" xfId="1" applyFont="1" applyBorder="1"/>
    <xf numFmtId="0" fontId="26" fillId="0" borderId="1" xfId="1" applyFont="1" applyBorder="1" applyAlignment="1">
      <alignment wrapText="1"/>
    </xf>
    <xf numFmtId="0" fontId="27" fillId="0" borderId="1" xfId="1" applyFont="1" applyBorder="1" applyAlignment="1">
      <alignment wrapText="1"/>
    </xf>
    <xf numFmtId="0" fontId="27" fillId="0" borderId="1" xfId="1" applyFont="1" applyBorder="1" applyAlignment="1">
      <alignment horizontal="center" wrapText="1"/>
    </xf>
    <xf numFmtId="14" fontId="14" fillId="0" borderId="1" xfId="0" applyNumberFormat="1" applyFont="1" applyBorder="1" applyAlignment="1">
      <alignment horizontal="center"/>
    </xf>
    <xf numFmtId="0" fontId="12" fillId="0" borderId="1" xfId="2" applyFont="1" applyBorder="1"/>
    <xf numFmtId="1" fontId="14" fillId="0" borderId="1" xfId="0" applyNumberFormat="1" applyFont="1" applyBorder="1" applyAlignment="1">
      <alignment horizontal="center" wrapText="1"/>
    </xf>
    <xf numFmtId="0" fontId="19" fillId="0" borderId="1" xfId="2" applyFont="1" applyBorder="1"/>
    <xf numFmtId="0" fontId="15" fillId="0" borderId="1" xfId="1" applyBorder="1" applyAlignment="1">
      <alignment horizontal="center" wrapText="1"/>
    </xf>
    <xf numFmtId="0" fontId="28" fillId="0" borderId="1" xfId="1" applyFont="1" applyBorder="1" applyAlignment="1">
      <alignment horizontal="center" wrapText="1"/>
    </xf>
    <xf numFmtId="0" fontId="15" fillId="0" borderId="1" xfId="1" applyBorder="1" applyAlignment="1">
      <alignment wrapText="1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4" fillId="0" borderId="5" xfId="0" applyFont="1" applyBorder="1" applyAlignment="1">
      <alignment horizontal="left"/>
    </xf>
    <xf numFmtId="1" fontId="19" fillId="3" borderId="1" xfId="0" applyNumberFormat="1" applyFont="1" applyFill="1" applyBorder="1"/>
    <xf numFmtId="1" fontId="13" fillId="3" borderId="1" xfId="0" applyNumberFormat="1" applyFont="1" applyFill="1" applyBorder="1" applyAlignment="1">
      <alignment horizontal="center"/>
    </xf>
    <xf numFmtId="0" fontId="12" fillId="3" borderId="1" xfId="0" applyFont="1" applyFill="1" applyBorder="1"/>
    <xf numFmtId="1" fontId="19" fillId="3" borderId="1" xfId="0" applyNumberFormat="1" applyFont="1" applyFill="1" applyBorder="1" applyAlignment="1">
      <alignment horizontal="left"/>
    </xf>
    <xf numFmtId="1" fontId="12" fillId="3" borderId="1" xfId="0" applyNumberFormat="1" applyFont="1" applyFill="1" applyBorder="1" applyAlignment="1">
      <alignment horizontal="center"/>
    </xf>
    <xf numFmtId="1" fontId="12" fillId="3" borderId="1" xfId="0" applyNumberFormat="1" applyFont="1" applyFill="1" applyBorder="1"/>
    <xf numFmtId="0" fontId="14" fillId="0" borderId="5" xfId="0" applyFont="1" applyBorder="1"/>
    <xf numFmtId="0" fontId="24" fillId="0" borderId="1" xfId="0" applyFont="1" applyBorder="1" applyAlignment="1">
      <alignment wrapText="1"/>
    </xf>
    <xf numFmtId="0" fontId="12" fillId="0" borderId="0" xfId="0" applyFont="1" applyAlignment="1">
      <alignment horizontal="center"/>
    </xf>
    <xf numFmtId="1" fontId="12" fillId="0" borderId="6" xfId="0" applyNumberFormat="1" applyFont="1" applyBorder="1"/>
    <xf numFmtId="0" fontId="7" fillId="0" borderId="0" xfId="0" applyFont="1" applyAlignment="1">
      <alignment wrapText="1"/>
    </xf>
  </cellXfs>
  <cellStyles count="3">
    <cellStyle name="Hyperlink" xfId="1" builtinId="8"/>
    <cellStyle name="Normal" xfId="0" builtinId="0"/>
    <cellStyle name="Normal 2" xfId="2" xr:uid="{E96CB85E-9732-44BE-8F84-D6CD0CA591BC}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ffice@dgaspc5.ro,%20Str.%20Fabrica%20de%20Chibrituri%20nr.%209-11,%20sector%205,%2021310" TargetMode="External"/><Relationship Id="rId3" Type="http://schemas.openxmlformats.org/officeDocument/2006/relationships/hyperlink" Target="mailto:office@primaria-medgidia.ro,%200241812300,%20Medgidia,%20Str.%20Tudor%20Vladimirescu,%20nr.13" TargetMode="External"/><Relationship Id="rId7" Type="http://schemas.openxmlformats.org/officeDocument/2006/relationships/hyperlink" Target="mailto:office@dgaspc5.ro,%20Str.%20Fabrica%20de%20Chibrituri%20nr.%209-11,%20sector%205,%2021310" TargetMode="External"/><Relationship Id="rId2" Type="http://schemas.openxmlformats.org/officeDocument/2006/relationships/hyperlink" Target="mailto:social@social2.ro,%20Str.%20Olari%20nr.%2015,%20021252.22.02" TargetMode="External"/><Relationship Id="rId1" Type="http://schemas.openxmlformats.org/officeDocument/2006/relationships/hyperlink" Target="mailto:pnenciulesti@yahoo.com,%20Teleorman,%20Comuna%20Nenciule&#537;ti,%20247330961" TargetMode="External"/><Relationship Id="rId6" Type="http://schemas.openxmlformats.org/officeDocument/2006/relationships/hyperlink" Target="mailto:secretar@primariacalmatuiudesus.ro,%20Com.%20C&#259;lm&#259;&#539;uiu%20de%20Sus,%20Jud.%20Teleorman,%200247356211" TargetMode="External"/><Relationship Id="rId5" Type="http://schemas.openxmlformats.org/officeDocument/2006/relationships/hyperlink" Target="mailto:primariaolteni@yahoo.com,%20Comuna%20Olteni,%20Jud.%20Teleorman,%200247432118" TargetMode="External"/><Relationship Id="rId4" Type="http://schemas.openxmlformats.org/officeDocument/2006/relationships/hyperlink" Target="mailto:contact@primaria-glina.ro,%20Ilfov,%20Com.%20Glina,%20str.%20Libert&#259;&#539;ii,%20nr.292,%20214671214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7"/>
  <sheetViews>
    <sheetView tabSelected="1" workbookViewId="0">
      <selection activeCell="D3" sqref="D3:I28"/>
    </sheetView>
  </sheetViews>
  <sheetFormatPr defaultColWidth="22.109375" defaultRowHeight="19.350000000000001" customHeight="1"/>
  <cols>
    <col min="1" max="1" width="3.44140625" style="11" customWidth="1"/>
    <col min="2" max="2" width="26" style="18" customWidth="1"/>
    <col min="3" max="3" width="7.88671875" style="18" customWidth="1"/>
    <col min="4" max="4" width="17.44140625" style="12" customWidth="1"/>
    <col min="5" max="5" width="7.21875" style="13" customWidth="1"/>
    <col min="6" max="6" width="12.77734375" style="14" customWidth="1"/>
    <col min="7" max="7" width="14.33203125" style="15" customWidth="1"/>
    <col min="8" max="8" width="9.77734375" style="15" customWidth="1"/>
    <col min="9" max="9" width="11.21875" style="15" customWidth="1"/>
    <col min="10" max="10" width="31.77734375" style="15" customWidth="1"/>
    <col min="11" max="11" width="27.44140625" style="11" customWidth="1"/>
    <col min="12" max="12" width="14.5546875" style="16" customWidth="1"/>
    <col min="13" max="13" width="13.109375" style="15" customWidth="1"/>
    <col min="14" max="14" width="38" style="15" customWidth="1"/>
    <col min="15" max="15" width="14" style="15" customWidth="1"/>
    <col min="16" max="16" width="13.88671875" style="15" customWidth="1"/>
    <col min="17" max="17" width="24.77734375" style="15" customWidth="1"/>
    <col min="18" max="18" width="11.109375" style="15" customWidth="1"/>
    <col min="19" max="19" width="40" style="15" customWidth="1"/>
    <col min="20" max="16384" width="22.109375" style="15"/>
  </cols>
  <sheetData>
    <row r="1" spans="1:71" ht="38.4" customHeight="1">
      <c r="A1" s="29" t="s">
        <v>52</v>
      </c>
      <c r="B1" s="30" t="s">
        <v>1</v>
      </c>
      <c r="C1" s="36" t="s">
        <v>60</v>
      </c>
      <c r="D1" s="31" t="s">
        <v>2</v>
      </c>
      <c r="E1" s="32" t="s">
        <v>3</v>
      </c>
      <c r="F1" s="33" t="s">
        <v>4</v>
      </c>
      <c r="G1" s="32" t="s">
        <v>5</v>
      </c>
      <c r="H1" s="36" t="s">
        <v>49</v>
      </c>
      <c r="I1" s="36" t="s">
        <v>48</v>
      </c>
      <c r="J1" s="32" t="s">
        <v>50</v>
      </c>
      <c r="K1" s="32" t="s">
        <v>51</v>
      </c>
      <c r="L1" s="34" t="s">
        <v>2</v>
      </c>
      <c r="M1" s="32" t="s">
        <v>5</v>
      </c>
      <c r="N1" s="32" t="s">
        <v>50</v>
      </c>
      <c r="O1" s="32" t="s">
        <v>54</v>
      </c>
      <c r="P1" s="47" t="s">
        <v>428</v>
      </c>
      <c r="Q1" s="43" t="s">
        <v>61</v>
      </c>
      <c r="R1" s="32" t="s">
        <v>62</v>
      </c>
      <c r="S1" s="32" t="s">
        <v>64</v>
      </c>
    </row>
    <row r="2" spans="1:71" ht="19.350000000000001" customHeight="1">
      <c r="A2" s="29"/>
      <c r="B2" s="30"/>
      <c r="C2" s="30"/>
      <c r="D2" s="31"/>
      <c r="E2" s="32"/>
      <c r="F2" s="33"/>
      <c r="G2" s="32"/>
      <c r="H2" s="32"/>
      <c r="I2" s="32"/>
      <c r="J2" s="32"/>
      <c r="K2" s="32"/>
      <c r="L2" s="34"/>
      <c r="M2" s="32"/>
      <c r="N2" s="32"/>
      <c r="O2" s="32"/>
      <c r="P2" s="35"/>
      <c r="Q2" s="44"/>
      <c r="R2" s="35"/>
      <c r="S2" s="35"/>
    </row>
    <row r="3" spans="1:71" ht="19.350000000000001" customHeight="1">
      <c r="A3" s="87">
        <v>1</v>
      </c>
      <c r="B3" s="137" t="s">
        <v>89</v>
      </c>
      <c r="C3" s="37" t="s">
        <v>56</v>
      </c>
      <c r="D3" s="37">
        <v>2440220400762</v>
      </c>
      <c r="E3" s="19">
        <f t="shared" ref="E3:E28" ca="1" si="0">DATEDIF(DATE(MID(D3,2,2),MID(D3,4,2),MID(D3,6,2)),TODAY(),"y")</f>
        <v>82</v>
      </c>
      <c r="F3" s="20">
        <f t="shared" ref="F3:F28" si="1">DATE(IF(LEFT(D3,1)*1&lt;=2,MID(D3,2,2),MID(D3,2,2)+100),MID(D3,4,2),MID(D3,6,2))</f>
        <v>16122</v>
      </c>
      <c r="G3" s="39" t="s">
        <v>199</v>
      </c>
      <c r="H3" s="45">
        <v>32</v>
      </c>
      <c r="I3" s="45" t="s">
        <v>200</v>
      </c>
      <c r="J3" s="142" t="s">
        <v>201</v>
      </c>
      <c r="K3" s="42" t="s">
        <v>202</v>
      </c>
      <c r="L3" s="45">
        <v>2760228451530</v>
      </c>
      <c r="M3" s="39" t="s">
        <v>203</v>
      </c>
      <c r="N3" s="38" t="s">
        <v>307</v>
      </c>
      <c r="O3" s="37">
        <v>726008591</v>
      </c>
      <c r="P3" s="57" t="s">
        <v>426</v>
      </c>
      <c r="Q3" s="71" t="s">
        <v>332</v>
      </c>
      <c r="R3" s="10"/>
      <c r="S3" s="143" t="s">
        <v>305</v>
      </c>
    </row>
    <row r="4" spans="1:71" s="10" customFormat="1" ht="19.350000000000001" customHeight="1">
      <c r="A4" s="87">
        <v>2</v>
      </c>
      <c r="B4" s="137" t="s">
        <v>447</v>
      </c>
      <c r="C4" s="45" t="s">
        <v>58</v>
      </c>
      <c r="D4" s="45">
        <v>1380215400044</v>
      </c>
      <c r="E4" s="19">
        <f t="shared" ca="1" si="0"/>
        <v>88</v>
      </c>
      <c r="F4" s="20">
        <f t="shared" si="1"/>
        <v>13926</v>
      </c>
      <c r="G4" s="41" t="s">
        <v>448</v>
      </c>
      <c r="H4" s="45">
        <v>782</v>
      </c>
      <c r="I4" s="45" t="s">
        <v>449</v>
      </c>
      <c r="J4" s="67" t="s">
        <v>450</v>
      </c>
      <c r="K4" s="63" t="s">
        <v>451</v>
      </c>
      <c r="L4" s="45">
        <v>1620821400104</v>
      </c>
      <c r="M4" s="41" t="s">
        <v>452</v>
      </c>
      <c r="N4" s="46" t="s">
        <v>454</v>
      </c>
      <c r="O4" s="150">
        <v>720002788</v>
      </c>
      <c r="P4" s="57" t="s">
        <v>426</v>
      </c>
      <c r="Q4" s="71" t="s">
        <v>68</v>
      </c>
      <c r="R4" s="38"/>
      <c r="S4" s="152" t="s">
        <v>453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</row>
    <row r="5" spans="1:71" ht="19.350000000000001" customHeight="1">
      <c r="A5" s="87">
        <v>3</v>
      </c>
      <c r="B5" s="64" t="s">
        <v>71</v>
      </c>
      <c r="C5" s="123" t="s">
        <v>56</v>
      </c>
      <c r="D5" s="45">
        <v>2550525400040</v>
      </c>
      <c r="E5" s="19">
        <f t="shared" ca="1" si="0"/>
        <v>71</v>
      </c>
      <c r="F5" s="20">
        <f t="shared" si="1"/>
        <v>20234</v>
      </c>
      <c r="G5" s="39" t="s">
        <v>97</v>
      </c>
      <c r="H5" s="39">
        <v>43</v>
      </c>
      <c r="I5" s="41" t="s">
        <v>98</v>
      </c>
      <c r="J5" s="62" t="s">
        <v>99</v>
      </c>
      <c r="K5" s="63" t="s">
        <v>100</v>
      </c>
      <c r="L5" s="37">
        <v>2810323410017</v>
      </c>
      <c r="M5" s="39" t="s">
        <v>101</v>
      </c>
      <c r="N5" s="38" t="s">
        <v>102</v>
      </c>
      <c r="O5" s="119" t="s">
        <v>103</v>
      </c>
      <c r="P5" s="57" t="s">
        <v>426</v>
      </c>
      <c r="Q5" s="65" t="s">
        <v>104</v>
      </c>
      <c r="S5" s="75" t="s">
        <v>105</v>
      </c>
    </row>
    <row r="6" spans="1:71" ht="19.350000000000001" customHeight="1">
      <c r="A6" s="87">
        <v>4</v>
      </c>
      <c r="B6" s="88" t="s">
        <v>287</v>
      </c>
      <c r="C6" s="41" t="s">
        <v>56</v>
      </c>
      <c r="D6" s="37">
        <v>1490304034969</v>
      </c>
      <c r="E6" s="37">
        <f t="shared" ca="1" si="0"/>
        <v>77</v>
      </c>
      <c r="F6" s="121">
        <f t="shared" si="1"/>
        <v>17961</v>
      </c>
      <c r="G6" s="38" t="s">
        <v>288</v>
      </c>
      <c r="H6" s="39">
        <v>273</v>
      </c>
      <c r="I6" s="39" t="s">
        <v>306</v>
      </c>
      <c r="J6" s="38" t="s">
        <v>289</v>
      </c>
      <c r="K6" s="40" t="s">
        <v>290</v>
      </c>
      <c r="L6" s="37">
        <v>2740804034991</v>
      </c>
      <c r="M6" s="39" t="s">
        <v>291</v>
      </c>
      <c r="N6" s="38" t="s">
        <v>292</v>
      </c>
      <c r="O6" s="119" t="s">
        <v>293</v>
      </c>
      <c r="P6" s="156" t="s">
        <v>427</v>
      </c>
      <c r="Q6" s="91" t="s">
        <v>68</v>
      </c>
      <c r="S6" s="78" t="s">
        <v>294</v>
      </c>
    </row>
    <row r="7" spans="1:71" ht="19.350000000000001" customHeight="1">
      <c r="A7" s="87">
        <v>5</v>
      </c>
      <c r="B7" s="137" t="s">
        <v>375</v>
      </c>
      <c r="C7" s="45" t="s">
        <v>56</v>
      </c>
      <c r="D7" s="45">
        <v>2510128134004</v>
      </c>
      <c r="E7" s="19">
        <f t="shared" ca="1" si="0"/>
        <v>75</v>
      </c>
      <c r="F7" s="20">
        <f t="shared" si="1"/>
        <v>18656</v>
      </c>
      <c r="G7" s="41" t="s">
        <v>376</v>
      </c>
      <c r="H7" s="45">
        <v>474</v>
      </c>
      <c r="I7" s="45" t="s">
        <v>377</v>
      </c>
      <c r="J7" s="67" t="s">
        <v>378</v>
      </c>
      <c r="K7" s="63" t="s">
        <v>379</v>
      </c>
      <c r="L7" s="45">
        <v>2721206134021</v>
      </c>
      <c r="M7" s="41" t="s">
        <v>380</v>
      </c>
      <c r="N7" s="164" t="s">
        <v>378</v>
      </c>
      <c r="O7" s="45">
        <v>768085885</v>
      </c>
      <c r="P7" s="57" t="s">
        <v>426</v>
      </c>
      <c r="Q7" s="65" t="s">
        <v>439</v>
      </c>
      <c r="R7" s="117"/>
      <c r="S7" s="152" t="s">
        <v>381</v>
      </c>
    </row>
    <row r="8" spans="1:71" ht="19.350000000000001" customHeight="1">
      <c r="A8" s="87">
        <v>6</v>
      </c>
      <c r="B8" s="137" t="s">
        <v>457</v>
      </c>
      <c r="C8" s="45" t="s">
        <v>58</v>
      </c>
      <c r="D8" s="45">
        <v>2491119400081</v>
      </c>
      <c r="E8" s="19">
        <f t="shared" ca="1" si="0"/>
        <v>76</v>
      </c>
      <c r="F8" s="20">
        <f t="shared" si="1"/>
        <v>18221</v>
      </c>
      <c r="G8" s="41" t="s">
        <v>455</v>
      </c>
      <c r="H8" s="45">
        <v>796</v>
      </c>
      <c r="I8" s="45" t="s">
        <v>456</v>
      </c>
      <c r="J8" s="67" t="s">
        <v>458</v>
      </c>
      <c r="K8" s="63" t="s">
        <v>459</v>
      </c>
      <c r="L8" s="45">
        <v>240518420071</v>
      </c>
      <c r="M8" s="41" t="s">
        <v>460</v>
      </c>
      <c r="N8" s="46" t="s">
        <v>461</v>
      </c>
      <c r="O8" s="150">
        <v>733251085</v>
      </c>
      <c r="P8" s="156" t="s">
        <v>427</v>
      </c>
      <c r="Q8" s="71"/>
      <c r="R8" s="117"/>
      <c r="S8" s="152" t="s">
        <v>305</v>
      </c>
    </row>
    <row r="9" spans="1:71" ht="24" customHeight="1">
      <c r="A9" s="87">
        <v>7</v>
      </c>
      <c r="B9" s="88" t="s">
        <v>265</v>
      </c>
      <c r="C9" s="41" t="s">
        <v>56</v>
      </c>
      <c r="D9" s="85">
        <v>2380715400896</v>
      </c>
      <c r="E9" s="45">
        <f t="shared" ca="1" si="0"/>
        <v>88</v>
      </c>
      <c r="F9" s="89">
        <f t="shared" si="1"/>
        <v>14076</v>
      </c>
      <c r="G9" s="166" t="s">
        <v>266</v>
      </c>
      <c r="H9" s="39">
        <v>198</v>
      </c>
      <c r="I9" s="66" t="s">
        <v>267</v>
      </c>
      <c r="J9" s="38" t="s">
        <v>268</v>
      </c>
      <c r="K9" s="40" t="s">
        <v>269</v>
      </c>
      <c r="L9" s="37">
        <v>1990529460113</v>
      </c>
      <c r="M9" s="39" t="s">
        <v>270</v>
      </c>
      <c r="N9" s="15" t="s">
        <v>271</v>
      </c>
      <c r="O9" s="39">
        <v>770201746</v>
      </c>
      <c r="P9" s="57" t="s">
        <v>426</v>
      </c>
      <c r="Q9" s="91" t="s">
        <v>332</v>
      </c>
      <c r="S9" s="78" t="s">
        <v>272</v>
      </c>
    </row>
    <row r="10" spans="1:71" ht="24" customHeight="1">
      <c r="A10" s="87">
        <v>8</v>
      </c>
      <c r="B10" s="64" t="s">
        <v>75</v>
      </c>
      <c r="C10" s="123" t="s">
        <v>56</v>
      </c>
      <c r="D10" s="45">
        <v>2460502400141</v>
      </c>
      <c r="E10" s="19">
        <f t="shared" ca="1" si="0"/>
        <v>80</v>
      </c>
      <c r="F10" s="20">
        <f t="shared" si="1"/>
        <v>16924</v>
      </c>
      <c r="G10" s="66" t="s">
        <v>115</v>
      </c>
      <c r="H10" s="39">
        <v>63</v>
      </c>
      <c r="I10" s="41" t="s">
        <v>98</v>
      </c>
      <c r="J10" s="157" t="s">
        <v>116</v>
      </c>
      <c r="K10" s="63" t="s">
        <v>117</v>
      </c>
      <c r="L10" s="37">
        <v>1680824411514</v>
      </c>
      <c r="M10" s="39" t="s">
        <v>118</v>
      </c>
      <c r="N10" s="38" t="s">
        <v>119</v>
      </c>
      <c r="O10" s="119" t="s">
        <v>120</v>
      </c>
      <c r="P10" s="57" t="s">
        <v>426</v>
      </c>
      <c r="Q10" s="71" t="s">
        <v>68</v>
      </c>
      <c r="R10" s="10"/>
      <c r="S10" s="168" t="s">
        <v>105</v>
      </c>
    </row>
    <row r="11" spans="1:71" ht="24" customHeight="1">
      <c r="A11" s="87">
        <v>9</v>
      </c>
      <c r="B11" s="64" t="s">
        <v>76</v>
      </c>
      <c r="C11" s="123" t="s">
        <v>56</v>
      </c>
      <c r="D11" s="45">
        <v>1371227212955</v>
      </c>
      <c r="E11" s="19">
        <f t="shared" ca="1" si="0"/>
        <v>88</v>
      </c>
      <c r="F11" s="20">
        <f t="shared" si="1"/>
        <v>13876</v>
      </c>
      <c r="G11" s="41" t="s">
        <v>121</v>
      </c>
      <c r="H11" s="41">
        <v>394</v>
      </c>
      <c r="I11" s="148" t="s">
        <v>122</v>
      </c>
      <c r="J11" s="67" t="s">
        <v>123</v>
      </c>
      <c r="K11" s="63" t="s">
        <v>124</v>
      </c>
      <c r="L11" s="37">
        <v>2671102424511</v>
      </c>
      <c r="M11" s="39" t="s">
        <v>125</v>
      </c>
      <c r="N11" s="117" t="s">
        <v>126</v>
      </c>
      <c r="O11" s="119" t="s">
        <v>127</v>
      </c>
      <c r="P11" s="57" t="s">
        <v>426</v>
      </c>
      <c r="Q11" s="71" t="s">
        <v>68</v>
      </c>
      <c r="R11" s="10"/>
      <c r="S11" s="143" t="s">
        <v>128</v>
      </c>
    </row>
    <row r="12" spans="1:71" ht="24" customHeight="1">
      <c r="A12" s="87">
        <v>10</v>
      </c>
      <c r="B12" s="64" t="s">
        <v>77</v>
      </c>
      <c r="C12" s="123" t="s">
        <v>438</v>
      </c>
      <c r="D12" s="45">
        <v>2561020400849</v>
      </c>
      <c r="E12" s="19">
        <f t="shared" ca="1" si="0"/>
        <v>69</v>
      </c>
      <c r="F12" s="20">
        <f t="shared" si="1"/>
        <v>20748</v>
      </c>
      <c r="G12" s="41" t="s">
        <v>129</v>
      </c>
      <c r="H12" s="45">
        <v>432</v>
      </c>
      <c r="I12" s="41" t="s">
        <v>130</v>
      </c>
      <c r="J12" s="67" t="s">
        <v>131</v>
      </c>
      <c r="K12" s="63"/>
      <c r="L12" s="37"/>
      <c r="M12" s="39"/>
      <c r="N12" s="38"/>
      <c r="O12" s="39"/>
      <c r="P12" s="57" t="s">
        <v>426</v>
      </c>
      <c r="Q12" s="71" t="s">
        <v>68</v>
      </c>
      <c r="R12" s="10"/>
      <c r="S12" s="143" t="s">
        <v>66</v>
      </c>
    </row>
    <row r="13" spans="1:71" ht="24" customHeight="1">
      <c r="A13" s="87">
        <v>11</v>
      </c>
      <c r="B13" s="137" t="s">
        <v>78</v>
      </c>
      <c r="C13" s="37" t="s">
        <v>56</v>
      </c>
      <c r="D13" s="37">
        <v>2410727400183</v>
      </c>
      <c r="E13" s="19">
        <f t="shared" ca="1" si="0"/>
        <v>84</v>
      </c>
      <c r="F13" s="20">
        <f t="shared" si="1"/>
        <v>15184</v>
      </c>
      <c r="G13" s="39" t="s">
        <v>132</v>
      </c>
      <c r="H13" s="45">
        <v>363</v>
      </c>
      <c r="I13" s="45" t="s">
        <v>133</v>
      </c>
      <c r="J13" s="62" t="s">
        <v>134</v>
      </c>
      <c r="K13" s="68" t="s">
        <v>135</v>
      </c>
      <c r="L13" s="45">
        <v>1680810461514</v>
      </c>
      <c r="M13" s="37" t="s">
        <v>136</v>
      </c>
      <c r="N13" s="167" t="s">
        <v>137</v>
      </c>
      <c r="O13" s="37" t="s">
        <v>138</v>
      </c>
      <c r="P13" s="156" t="s">
        <v>427</v>
      </c>
      <c r="Q13" s="65" t="s">
        <v>139</v>
      </c>
      <c r="R13" s="10"/>
      <c r="S13" s="78" t="s">
        <v>368</v>
      </c>
    </row>
    <row r="14" spans="1:71" ht="24" customHeight="1">
      <c r="A14" s="87">
        <v>12</v>
      </c>
      <c r="B14" s="88" t="s">
        <v>243</v>
      </c>
      <c r="C14" s="41" t="s">
        <v>56</v>
      </c>
      <c r="D14" s="85">
        <v>2431018400811</v>
      </c>
      <c r="E14" s="45">
        <f t="shared" ca="1" si="0"/>
        <v>82</v>
      </c>
      <c r="F14" s="89">
        <f t="shared" si="1"/>
        <v>15997</v>
      </c>
      <c r="G14" s="155" t="s">
        <v>244</v>
      </c>
      <c r="H14" s="39">
        <v>609</v>
      </c>
      <c r="I14" s="66" t="s">
        <v>418</v>
      </c>
      <c r="J14" s="128" t="s">
        <v>246</v>
      </c>
      <c r="K14" s="40" t="s">
        <v>247</v>
      </c>
      <c r="L14" s="37">
        <v>2680109521590</v>
      </c>
      <c r="M14" s="39" t="s">
        <v>248</v>
      </c>
      <c r="N14" s="139" t="s">
        <v>249</v>
      </c>
      <c r="O14" s="39">
        <v>771158105</v>
      </c>
      <c r="P14" s="156" t="s">
        <v>427</v>
      </c>
      <c r="Q14" s="71"/>
      <c r="R14" s="10"/>
      <c r="S14" s="145" t="s">
        <v>407</v>
      </c>
    </row>
    <row r="15" spans="1:71" ht="24" customHeight="1">
      <c r="A15" s="87">
        <v>13</v>
      </c>
      <c r="B15" s="137" t="s">
        <v>357</v>
      </c>
      <c r="C15" s="45" t="s">
        <v>58</v>
      </c>
      <c r="D15" s="45">
        <v>1530301400537</v>
      </c>
      <c r="E15" s="19">
        <f t="shared" ca="1" si="0"/>
        <v>73</v>
      </c>
      <c r="F15" s="20">
        <f t="shared" si="1"/>
        <v>19419</v>
      </c>
      <c r="G15" s="41" t="s">
        <v>363</v>
      </c>
      <c r="H15" s="45">
        <v>446</v>
      </c>
      <c r="I15" s="45" t="s">
        <v>359</v>
      </c>
      <c r="J15" s="67" t="s">
        <v>364</v>
      </c>
      <c r="K15" s="63" t="s">
        <v>365</v>
      </c>
      <c r="L15" s="45">
        <v>1850925284540</v>
      </c>
      <c r="M15" s="41" t="s">
        <v>366</v>
      </c>
      <c r="N15" s="46" t="s">
        <v>367</v>
      </c>
      <c r="O15" s="45">
        <v>785113301</v>
      </c>
      <c r="P15" s="57" t="s">
        <v>426</v>
      </c>
      <c r="Q15" s="71" t="s">
        <v>371</v>
      </c>
      <c r="R15" s="117"/>
      <c r="S15" s="147" t="s">
        <v>331</v>
      </c>
    </row>
    <row r="16" spans="1:71" ht="24" customHeight="1">
      <c r="A16" s="87">
        <v>14</v>
      </c>
      <c r="B16" s="88" t="s">
        <v>273</v>
      </c>
      <c r="C16" s="41" t="s">
        <v>56</v>
      </c>
      <c r="D16" s="85">
        <v>2570130400589</v>
      </c>
      <c r="E16" s="45">
        <f t="shared" ca="1" si="0"/>
        <v>69</v>
      </c>
      <c r="F16" s="89">
        <f t="shared" si="1"/>
        <v>20850</v>
      </c>
      <c r="G16" s="39" t="s">
        <v>274</v>
      </c>
      <c r="H16" s="39">
        <v>151</v>
      </c>
      <c r="I16" s="66" t="s">
        <v>263</v>
      </c>
      <c r="J16" s="38" t="s">
        <v>275</v>
      </c>
      <c r="K16" s="40" t="s">
        <v>276</v>
      </c>
      <c r="L16" s="37">
        <v>2610502400416</v>
      </c>
      <c r="M16" s="39" t="s">
        <v>277</v>
      </c>
      <c r="N16" s="38" t="s">
        <v>278</v>
      </c>
      <c r="O16" s="39">
        <v>753011650</v>
      </c>
      <c r="P16" s="57" t="s">
        <v>426</v>
      </c>
      <c r="Q16" s="65" t="s">
        <v>398</v>
      </c>
      <c r="S16" s="143" t="s">
        <v>279</v>
      </c>
    </row>
    <row r="17" spans="1:19" ht="24" customHeight="1">
      <c r="A17" s="87">
        <v>15</v>
      </c>
      <c r="B17" s="137" t="s">
        <v>383</v>
      </c>
      <c r="C17" s="45" t="s">
        <v>56</v>
      </c>
      <c r="D17" s="45">
        <v>1580120400151</v>
      </c>
      <c r="E17" s="19">
        <f t="shared" ca="1" si="0"/>
        <v>68</v>
      </c>
      <c r="F17" s="20">
        <f t="shared" si="1"/>
        <v>21205</v>
      </c>
      <c r="G17" s="41" t="s">
        <v>384</v>
      </c>
      <c r="H17" s="45">
        <v>527</v>
      </c>
      <c r="I17" s="45" t="s">
        <v>385</v>
      </c>
      <c r="J17" s="67" t="s">
        <v>386</v>
      </c>
      <c r="K17" s="63" t="s">
        <v>387</v>
      </c>
      <c r="L17" s="45" t="s">
        <v>388</v>
      </c>
      <c r="M17" s="41" t="s">
        <v>389</v>
      </c>
      <c r="N17" s="46" t="s">
        <v>390</v>
      </c>
      <c r="O17" s="45">
        <v>729090461</v>
      </c>
      <c r="P17" s="57" t="s">
        <v>426</v>
      </c>
      <c r="Q17" s="71" t="s">
        <v>68</v>
      </c>
      <c r="R17" s="117"/>
      <c r="S17" s="153" t="s">
        <v>394</v>
      </c>
    </row>
    <row r="18" spans="1:19" ht="24" customHeight="1">
      <c r="A18" s="87">
        <v>16</v>
      </c>
      <c r="B18" s="151" t="s">
        <v>82</v>
      </c>
      <c r="C18" s="72" t="s">
        <v>56</v>
      </c>
      <c r="D18" s="56">
        <v>2331019400779</v>
      </c>
      <c r="E18" s="19">
        <f t="shared" ca="1" si="0"/>
        <v>92</v>
      </c>
      <c r="F18" s="20">
        <f t="shared" si="1"/>
        <v>12346</v>
      </c>
      <c r="G18" s="72" t="s">
        <v>152</v>
      </c>
      <c r="H18" s="72">
        <v>310</v>
      </c>
      <c r="I18" s="72" t="s">
        <v>113</v>
      </c>
      <c r="J18" s="140" t="s">
        <v>153</v>
      </c>
      <c r="K18" s="73" t="s">
        <v>154</v>
      </c>
      <c r="L18" s="74">
        <v>2841106170039</v>
      </c>
      <c r="M18" s="72" t="s">
        <v>155</v>
      </c>
      <c r="N18" s="149" t="s">
        <v>156</v>
      </c>
      <c r="O18" s="120" t="s">
        <v>157</v>
      </c>
      <c r="P18" s="57" t="s">
        <v>426</v>
      </c>
      <c r="Q18" s="71" t="s">
        <v>397</v>
      </c>
      <c r="R18" s="94"/>
      <c r="S18" s="75" t="s">
        <v>370</v>
      </c>
    </row>
    <row r="19" spans="1:19" ht="24" customHeight="1">
      <c r="A19" s="87">
        <v>17</v>
      </c>
      <c r="B19" s="137" t="s">
        <v>83</v>
      </c>
      <c r="C19" s="45" t="s">
        <v>59</v>
      </c>
      <c r="D19" s="45">
        <v>2570831090023</v>
      </c>
      <c r="E19" s="19">
        <f t="shared" ca="1" si="0"/>
        <v>68</v>
      </c>
      <c r="F19" s="20">
        <f t="shared" si="1"/>
        <v>21063</v>
      </c>
      <c r="G19" s="41" t="s">
        <v>158</v>
      </c>
      <c r="H19" s="45">
        <v>593</v>
      </c>
      <c r="I19" s="45" t="s">
        <v>159</v>
      </c>
      <c r="J19" s="70" t="s">
        <v>160</v>
      </c>
      <c r="K19" s="68" t="s">
        <v>161</v>
      </c>
      <c r="L19" s="45">
        <v>2830611090013</v>
      </c>
      <c r="M19" s="41" t="s">
        <v>162</v>
      </c>
      <c r="N19" s="46" t="s">
        <v>163</v>
      </c>
      <c r="O19" s="45" t="s">
        <v>164</v>
      </c>
      <c r="P19" s="57" t="s">
        <v>426</v>
      </c>
      <c r="Q19" s="65" t="s">
        <v>165</v>
      </c>
      <c r="R19" s="165"/>
      <c r="S19" s="75" t="s">
        <v>166</v>
      </c>
    </row>
    <row r="20" spans="1:19" ht="24" customHeight="1">
      <c r="A20" s="87">
        <v>18</v>
      </c>
      <c r="B20" s="64" t="s">
        <v>204</v>
      </c>
      <c r="C20" s="123" t="s">
        <v>56</v>
      </c>
      <c r="D20" s="122">
        <v>1610131400261</v>
      </c>
      <c r="E20" s="92">
        <f t="shared" ca="1" si="0"/>
        <v>65</v>
      </c>
      <c r="F20" s="93">
        <f t="shared" si="1"/>
        <v>22312</v>
      </c>
      <c r="G20" s="123" t="s">
        <v>206</v>
      </c>
      <c r="H20" s="123">
        <v>419</v>
      </c>
      <c r="I20" s="123" t="s">
        <v>207</v>
      </c>
      <c r="J20" s="94" t="s">
        <v>208</v>
      </c>
      <c r="K20" s="64" t="s">
        <v>209</v>
      </c>
      <c r="L20" s="124">
        <v>2820516460097</v>
      </c>
      <c r="M20" s="94" t="s">
        <v>210</v>
      </c>
      <c r="N20" s="94" t="s">
        <v>208</v>
      </c>
      <c r="O20" s="125" t="s">
        <v>211</v>
      </c>
      <c r="P20" s="57" t="s">
        <v>426</v>
      </c>
      <c r="Q20" s="126" t="s">
        <v>262</v>
      </c>
      <c r="R20" s="10"/>
      <c r="S20" s="143" t="s">
        <v>105</v>
      </c>
    </row>
    <row r="21" spans="1:19" ht="24" customHeight="1">
      <c r="A21" s="87">
        <v>19</v>
      </c>
      <c r="B21" s="64" t="s">
        <v>84</v>
      </c>
      <c r="C21" s="123" t="s">
        <v>56</v>
      </c>
      <c r="D21" s="45">
        <v>1460618400565</v>
      </c>
      <c r="E21" s="19">
        <f t="shared" ca="1" si="0"/>
        <v>80</v>
      </c>
      <c r="F21" s="20">
        <f t="shared" si="1"/>
        <v>16971</v>
      </c>
      <c r="G21" s="41" t="s">
        <v>167</v>
      </c>
      <c r="H21" s="41">
        <v>33</v>
      </c>
      <c r="I21" s="41" t="s">
        <v>98</v>
      </c>
      <c r="J21" s="129" t="s">
        <v>168</v>
      </c>
      <c r="K21" s="63" t="s">
        <v>169</v>
      </c>
      <c r="L21" s="37">
        <v>2770809173174</v>
      </c>
      <c r="M21" s="39" t="s">
        <v>170</v>
      </c>
      <c r="N21" s="38" t="s">
        <v>171</v>
      </c>
      <c r="O21" s="119" t="s">
        <v>172</v>
      </c>
      <c r="P21" s="57" t="s">
        <v>426</v>
      </c>
      <c r="Q21" s="65" t="s">
        <v>173</v>
      </c>
      <c r="R21" s="10"/>
      <c r="S21" s="143" t="s">
        <v>65</v>
      </c>
    </row>
    <row r="22" spans="1:19" ht="24" customHeight="1">
      <c r="A22" s="87">
        <v>20</v>
      </c>
      <c r="B22" s="137" t="s">
        <v>340</v>
      </c>
      <c r="C22" s="45" t="s">
        <v>58</v>
      </c>
      <c r="D22" s="45">
        <v>2421105282216</v>
      </c>
      <c r="E22" s="37">
        <f t="shared" ca="1" si="0"/>
        <v>83</v>
      </c>
      <c r="F22" s="141">
        <f t="shared" si="1"/>
        <v>15650</v>
      </c>
      <c r="G22" s="41" t="s">
        <v>341</v>
      </c>
      <c r="H22" s="41">
        <v>403</v>
      </c>
      <c r="I22" s="41" t="s">
        <v>440</v>
      </c>
      <c r="J22" s="38" t="s">
        <v>347</v>
      </c>
      <c r="K22" s="40" t="s">
        <v>342</v>
      </c>
      <c r="L22" s="37">
        <v>1890226282205</v>
      </c>
      <c r="M22" s="39" t="s">
        <v>343</v>
      </c>
      <c r="N22" s="38" t="s">
        <v>344</v>
      </c>
      <c r="O22" s="119" t="s">
        <v>345</v>
      </c>
      <c r="P22" s="57" t="s">
        <v>426</v>
      </c>
      <c r="Q22" s="65" t="s">
        <v>374</v>
      </c>
      <c r="R22" s="38"/>
      <c r="S22" s="143" t="s">
        <v>348</v>
      </c>
    </row>
    <row r="23" spans="1:19" ht="24" customHeight="1">
      <c r="A23" s="87">
        <v>21</v>
      </c>
      <c r="B23" s="137" t="s">
        <v>325</v>
      </c>
      <c r="C23" s="45" t="s">
        <v>56</v>
      </c>
      <c r="D23" s="45">
        <v>1520708400241</v>
      </c>
      <c r="E23" s="19">
        <f t="shared" ca="1" si="0"/>
        <v>74</v>
      </c>
      <c r="F23" s="20">
        <f t="shared" si="1"/>
        <v>19183</v>
      </c>
      <c r="G23" s="41" t="s">
        <v>326</v>
      </c>
      <c r="H23" s="45">
        <v>300</v>
      </c>
      <c r="I23" s="45" t="s">
        <v>310</v>
      </c>
      <c r="J23" s="67" t="s">
        <v>327</v>
      </c>
      <c r="K23" s="63" t="s">
        <v>328</v>
      </c>
      <c r="L23" s="45">
        <v>1560504400174</v>
      </c>
      <c r="M23" s="41" t="s">
        <v>329</v>
      </c>
      <c r="N23" s="46" t="s">
        <v>330</v>
      </c>
      <c r="O23" s="45">
        <v>729729491</v>
      </c>
      <c r="P23" s="57" t="s">
        <v>426</v>
      </c>
      <c r="Q23" s="65" t="s">
        <v>462</v>
      </c>
      <c r="R23" s="154"/>
      <c r="S23" s="144" t="s">
        <v>331</v>
      </c>
    </row>
    <row r="24" spans="1:19" ht="24" customHeight="1">
      <c r="A24" s="87">
        <v>22</v>
      </c>
      <c r="B24" s="137" t="s">
        <v>419</v>
      </c>
      <c r="C24" s="45" t="s">
        <v>58</v>
      </c>
      <c r="D24" s="45">
        <v>1400117344251</v>
      </c>
      <c r="E24" s="19">
        <f t="shared" ca="1" si="0"/>
        <v>86</v>
      </c>
      <c r="F24" s="20">
        <f t="shared" si="1"/>
        <v>14627</v>
      </c>
      <c r="G24" s="41" t="s">
        <v>420</v>
      </c>
      <c r="H24" s="45">
        <v>689</v>
      </c>
      <c r="I24" s="45" t="s">
        <v>421</v>
      </c>
      <c r="J24" s="67" t="s">
        <v>422</v>
      </c>
      <c r="K24" s="63" t="s">
        <v>423</v>
      </c>
      <c r="L24" s="45">
        <v>2690601344270</v>
      </c>
      <c r="M24" s="41" t="s">
        <v>424</v>
      </c>
      <c r="N24" s="46" t="s">
        <v>425</v>
      </c>
      <c r="O24" s="150"/>
      <c r="P24" s="156" t="s">
        <v>427</v>
      </c>
      <c r="Q24" s="71"/>
      <c r="R24" s="38"/>
      <c r="S24" s="152" t="s">
        <v>435</v>
      </c>
    </row>
    <row r="25" spans="1:19" ht="24" customHeight="1">
      <c r="A25" s="87">
        <v>23</v>
      </c>
      <c r="B25" s="88" t="s">
        <v>86</v>
      </c>
      <c r="C25" s="41" t="s">
        <v>56</v>
      </c>
      <c r="D25" s="45">
        <v>1511208400246</v>
      </c>
      <c r="E25" s="19">
        <f t="shared" ca="1" si="0"/>
        <v>74</v>
      </c>
      <c r="F25" s="20">
        <f t="shared" si="1"/>
        <v>18970</v>
      </c>
      <c r="G25" s="45" t="s">
        <v>179</v>
      </c>
      <c r="H25" s="45">
        <v>504</v>
      </c>
      <c r="I25" s="45" t="s">
        <v>180</v>
      </c>
      <c r="J25" s="67" t="s">
        <v>181</v>
      </c>
      <c r="K25" s="63" t="s">
        <v>182</v>
      </c>
      <c r="L25" s="45">
        <v>2571102400271</v>
      </c>
      <c r="M25" s="41" t="s">
        <v>183</v>
      </c>
      <c r="N25" s="46" t="s">
        <v>181</v>
      </c>
      <c r="O25" s="45">
        <v>766642185</v>
      </c>
      <c r="P25" s="57" t="s">
        <v>426</v>
      </c>
      <c r="Q25" s="71" t="s">
        <v>68</v>
      </c>
      <c r="R25" s="10"/>
      <c r="S25" s="154" t="s">
        <v>305</v>
      </c>
    </row>
    <row r="26" spans="1:19" ht="24" customHeight="1">
      <c r="A26" s="87">
        <v>24</v>
      </c>
      <c r="B26" s="137" t="s">
        <v>87</v>
      </c>
      <c r="C26" s="45" t="s">
        <v>58</v>
      </c>
      <c r="D26" s="45">
        <v>1451127340014</v>
      </c>
      <c r="E26" s="19">
        <f t="shared" ca="1" si="0"/>
        <v>80</v>
      </c>
      <c r="F26" s="20">
        <f t="shared" si="1"/>
        <v>16768</v>
      </c>
      <c r="G26" s="45" t="s">
        <v>185</v>
      </c>
      <c r="H26" s="45">
        <v>553</v>
      </c>
      <c r="I26" s="45" t="s">
        <v>186</v>
      </c>
      <c r="J26" s="70" t="s">
        <v>187</v>
      </c>
      <c r="K26" s="68" t="s">
        <v>188</v>
      </c>
      <c r="L26" s="45">
        <v>2720726340035</v>
      </c>
      <c r="M26" s="45" t="s">
        <v>189</v>
      </c>
      <c r="N26" s="127" t="s">
        <v>190</v>
      </c>
      <c r="O26" s="45">
        <v>766988817</v>
      </c>
      <c r="P26" s="57" t="s">
        <v>426</v>
      </c>
      <c r="Q26" s="78" t="s">
        <v>191</v>
      </c>
      <c r="R26" s="10"/>
      <c r="S26" s="145" t="s">
        <v>184</v>
      </c>
    </row>
    <row r="27" spans="1:19" ht="24" customHeight="1">
      <c r="A27" s="87">
        <v>25</v>
      </c>
      <c r="B27" s="137" t="s">
        <v>315</v>
      </c>
      <c r="C27" s="45" t="s">
        <v>56</v>
      </c>
      <c r="D27" s="45">
        <v>1580503090052</v>
      </c>
      <c r="E27" s="19">
        <f t="shared" ca="1" si="0"/>
        <v>68</v>
      </c>
      <c r="F27" s="20">
        <f t="shared" si="1"/>
        <v>21308</v>
      </c>
      <c r="G27" s="41" t="s">
        <v>316</v>
      </c>
      <c r="H27" s="45">
        <v>286</v>
      </c>
      <c r="I27" s="45" t="s">
        <v>317</v>
      </c>
      <c r="J27" s="67" t="s">
        <v>318</v>
      </c>
      <c r="K27" s="63" t="s">
        <v>319</v>
      </c>
      <c r="L27" s="45">
        <v>1840529090021</v>
      </c>
      <c r="M27" s="41" t="s">
        <v>320</v>
      </c>
      <c r="N27" s="46" t="s">
        <v>321</v>
      </c>
      <c r="O27" s="45">
        <v>744625440</v>
      </c>
      <c r="P27" s="57" t="s">
        <v>426</v>
      </c>
      <c r="Q27" s="71" t="s">
        <v>332</v>
      </c>
      <c r="R27" s="10"/>
      <c r="S27" s="146" t="s">
        <v>166</v>
      </c>
    </row>
    <row r="28" spans="1:19" ht="24" customHeight="1">
      <c r="A28" s="87">
        <v>26</v>
      </c>
      <c r="B28" s="137" t="s">
        <v>88</v>
      </c>
      <c r="C28" s="45" t="s">
        <v>56</v>
      </c>
      <c r="D28" s="45">
        <v>2420208400687</v>
      </c>
      <c r="E28" s="19">
        <f t="shared" ca="1" si="0"/>
        <v>84</v>
      </c>
      <c r="F28" s="20">
        <f t="shared" si="1"/>
        <v>15380</v>
      </c>
      <c r="G28" s="41" t="s">
        <v>192</v>
      </c>
      <c r="H28" s="45">
        <v>580</v>
      </c>
      <c r="I28" s="45" t="s">
        <v>193</v>
      </c>
      <c r="J28" s="67" t="s">
        <v>194</v>
      </c>
      <c r="K28" s="63" t="s">
        <v>195</v>
      </c>
      <c r="L28" s="45">
        <v>1751006463037</v>
      </c>
      <c r="M28" s="41" t="s">
        <v>196</v>
      </c>
      <c r="N28" s="46" t="s">
        <v>197</v>
      </c>
      <c r="O28" s="150" t="s">
        <v>198</v>
      </c>
      <c r="P28" s="57" t="s">
        <v>426</v>
      </c>
      <c r="Q28" s="71" t="s">
        <v>332</v>
      </c>
      <c r="R28" s="38"/>
      <c r="S28" s="147" t="s">
        <v>67</v>
      </c>
    </row>
    <row r="29" spans="1:19" ht="19.350000000000001" customHeight="1">
      <c r="A29" s="95"/>
      <c r="B29" s="96"/>
      <c r="C29" s="97"/>
      <c r="D29" s="98"/>
      <c r="E29" s="99"/>
      <c r="F29" s="100"/>
      <c r="G29" s="101"/>
      <c r="H29" s="102"/>
      <c r="I29" s="103"/>
      <c r="J29" s="104"/>
      <c r="K29" s="105"/>
      <c r="L29" s="106"/>
      <c r="M29" s="107"/>
      <c r="N29" s="107"/>
      <c r="O29" s="108"/>
      <c r="P29" s="109"/>
      <c r="Q29" s="110"/>
      <c r="R29" s="107"/>
      <c r="S29" s="111"/>
    </row>
    <row r="30" spans="1:19" ht="19.350000000000001" customHeight="1">
      <c r="B30" s="21" t="s">
        <v>45</v>
      </c>
      <c r="C30" s="21"/>
      <c r="H30" s="28"/>
    </row>
    <row r="31" spans="1:19" ht="19.350000000000001" customHeight="1">
      <c r="A31" s="22" t="s">
        <v>0</v>
      </c>
      <c r="B31" s="24" t="s">
        <v>1</v>
      </c>
      <c r="C31" s="24"/>
      <c r="D31" s="25" t="s">
        <v>2</v>
      </c>
      <c r="E31" s="23" t="s">
        <v>3</v>
      </c>
      <c r="F31" s="26" t="s">
        <v>4</v>
      </c>
      <c r="G31" s="23" t="s">
        <v>5</v>
      </c>
      <c r="H31" s="23" t="s">
        <v>49</v>
      </c>
      <c r="I31" s="23" t="s">
        <v>48</v>
      </c>
      <c r="J31" s="23" t="s">
        <v>50</v>
      </c>
      <c r="K31" s="23" t="s">
        <v>51</v>
      </c>
      <c r="L31" s="27" t="s">
        <v>2</v>
      </c>
      <c r="M31" s="23" t="s">
        <v>5</v>
      </c>
      <c r="N31" s="23" t="s">
        <v>50</v>
      </c>
      <c r="O31" s="23" t="s">
        <v>53</v>
      </c>
      <c r="P31" s="23" t="s">
        <v>46</v>
      </c>
      <c r="Q31" s="23" t="s">
        <v>47</v>
      </c>
    </row>
    <row r="32" spans="1:19" ht="19.350000000000001" customHeight="1">
      <c r="A32" s="22"/>
      <c r="B32" s="24"/>
      <c r="C32" s="24"/>
      <c r="D32" s="25"/>
      <c r="E32" s="23"/>
      <c r="F32" s="26"/>
      <c r="G32" s="23"/>
      <c r="H32" s="23"/>
      <c r="I32" s="23"/>
      <c r="J32" s="23"/>
      <c r="K32" s="23"/>
      <c r="L32" s="27"/>
      <c r="M32" s="23"/>
      <c r="N32" s="23"/>
      <c r="O32" s="23"/>
      <c r="P32" s="23"/>
      <c r="Q32" s="23"/>
    </row>
    <row r="33" spans="1:19" ht="19.350000000000001" customHeight="1">
      <c r="A33" s="83">
        <v>1</v>
      </c>
      <c r="B33" s="58" t="s">
        <v>219</v>
      </c>
      <c r="C33" s="79" t="s">
        <v>55</v>
      </c>
      <c r="D33" s="59">
        <v>2341017400501</v>
      </c>
      <c r="E33" s="59">
        <f ca="1">DATEDIF(DATE(MID(D33,2,2),MID(D33,4,2),MID(D33,6,2)),TODAY(),"y")</f>
        <v>91</v>
      </c>
      <c r="F33" s="112">
        <f>DATE(IF(LEFT(D33,1)*1&lt;=2,MID(D33,2,2),MID(D33,2,2)+100),MID(D33,4,2),MID(D33,6,2))</f>
        <v>12709</v>
      </c>
      <c r="G33" s="80" t="s">
        <v>220</v>
      </c>
      <c r="H33" s="59">
        <v>680</v>
      </c>
      <c r="I33" s="59" t="s">
        <v>218</v>
      </c>
      <c r="J33" s="76" t="s">
        <v>221</v>
      </c>
      <c r="K33" s="77" t="s">
        <v>222</v>
      </c>
      <c r="L33" s="59">
        <v>2690821463014</v>
      </c>
      <c r="M33" s="81" t="s">
        <v>223</v>
      </c>
      <c r="N33" s="82" t="s">
        <v>224</v>
      </c>
      <c r="O33" s="70">
        <v>722978196</v>
      </c>
      <c r="P33" s="45" t="s">
        <v>69</v>
      </c>
      <c r="Q33" s="38" t="s">
        <v>225</v>
      </c>
    </row>
    <row r="34" spans="1:19" ht="19.350000000000001" customHeight="1">
      <c r="A34" s="40">
        <v>2</v>
      </c>
      <c r="B34" s="53" t="s">
        <v>226</v>
      </c>
      <c r="C34" s="49" t="s">
        <v>58</v>
      </c>
      <c r="D34" s="37">
        <v>2410818520036</v>
      </c>
      <c r="E34" s="45">
        <f t="shared" ref="E34:E36" ca="1" si="2">DATEDIF(DATE(MID(D34,2,2),MID(D34,4,2),MID(D34,6,2)),TODAY(),"y")</f>
        <v>84</v>
      </c>
      <c r="F34" s="89">
        <v>15206</v>
      </c>
      <c r="G34" s="39" t="s">
        <v>227</v>
      </c>
      <c r="H34" s="45">
        <v>4</v>
      </c>
      <c r="I34" s="45" t="s">
        <v>228</v>
      </c>
      <c r="J34" s="38" t="s">
        <v>229</v>
      </c>
      <c r="K34" s="42" t="s">
        <v>230</v>
      </c>
      <c r="L34" s="45">
        <v>1590918400612</v>
      </c>
      <c r="M34" s="38" t="s">
        <v>231</v>
      </c>
      <c r="N34" s="38" t="s">
        <v>232</v>
      </c>
      <c r="O34" s="62">
        <v>770207985</v>
      </c>
      <c r="P34" s="39" t="s">
        <v>233</v>
      </c>
      <c r="Q34" s="38" t="s">
        <v>225</v>
      </c>
    </row>
    <row r="35" spans="1:19" ht="19.350000000000001" customHeight="1">
      <c r="A35" s="40">
        <v>3</v>
      </c>
      <c r="B35" s="40" t="s">
        <v>234</v>
      </c>
      <c r="C35" s="49" t="s">
        <v>58</v>
      </c>
      <c r="D35" s="85">
        <v>2500902400205</v>
      </c>
      <c r="E35" s="45">
        <f t="shared" ca="1" si="2"/>
        <v>75</v>
      </c>
      <c r="F35" s="89">
        <v>15207</v>
      </c>
      <c r="G35" s="39" t="s">
        <v>235</v>
      </c>
      <c r="H35" s="39">
        <v>18</v>
      </c>
      <c r="I35" s="39" t="s">
        <v>236</v>
      </c>
      <c r="J35" s="38" t="s">
        <v>237</v>
      </c>
      <c r="K35" s="40" t="s">
        <v>238</v>
      </c>
      <c r="L35" s="37">
        <v>1761109463053</v>
      </c>
      <c r="M35" s="38" t="s">
        <v>239</v>
      </c>
      <c r="N35" s="38" t="s">
        <v>240</v>
      </c>
      <c r="O35" s="62">
        <v>723595418</v>
      </c>
      <c r="P35" s="39" t="s">
        <v>233</v>
      </c>
      <c r="Q35" s="38" t="s">
        <v>63</v>
      </c>
    </row>
    <row r="36" spans="1:19" ht="19.350000000000001" customHeight="1">
      <c r="A36" s="40">
        <v>4</v>
      </c>
      <c r="B36" s="53" t="s">
        <v>79</v>
      </c>
      <c r="C36" s="49" t="s">
        <v>57</v>
      </c>
      <c r="D36" s="54">
        <v>2500127104976</v>
      </c>
      <c r="E36" s="45">
        <f t="shared" ca="1" si="2"/>
        <v>76</v>
      </c>
      <c r="F36" s="89">
        <f t="shared" ref="F36" si="3">DATE(IF(LEFT(D36,1)*1&lt;=2,MID(D36,2,2),MID(D36,2,2)+100),MID(D36,4,2),MID(D36,6,2))</f>
        <v>18290</v>
      </c>
      <c r="G36" s="45" t="s">
        <v>140</v>
      </c>
      <c r="H36" s="45">
        <v>703</v>
      </c>
      <c r="I36" s="45" t="s">
        <v>141</v>
      </c>
      <c r="J36" s="70" t="s">
        <v>142</v>
      </c>
      <c r="K36" s="68" t="s">
        <v>143</v>
      </c>
      <c r="L36" s="45">
        <v>1890725100175</v>
      </c>
      <c r="M36" s="37" t="s">
        <v>144</v>
      </c>
      <c r="N36" s="69" t="s">
        <v>145</v>
      </c>
      <c r="O36" s="62">
        <v>788762620</v>
      </c>
      <c r="P36" s="37" t="s">
        <v>241</v>
      </c>
      <c r="Q36" s="38" t="s">
        <v>63</v>
      </c>
    </row>
    <row r="37" spans="1:19" ht="19.350000000000001" customHeight="1">
      <c r="A37" s="40">
        <v>5</v>
      </c>
      <c r="B37" s="40" t="s">
        <v>72</v>
      </c>
      <c r="C37" s="52" t="s">
        <v>73</v>
      </c>
      <c r="D37" s="37">
        <v>2321110510018</v>
      </c>
      <c r="E37" s="45">
        <f ca="1">DATEDIF(DATE(MID(D37,2,2),MID(D37,4,2),MID(D37,6,2)),TODAY(),"y")</f>
        <v>93</v>
      </c>
      <c r="F37" s="89">
        <f>DATE(IF(LEFT(D37,1)*1&lt;=2,MID(D37,2,2),MID(D37,2,2)+100),MID(D37,4,2),MID(D37,6,2))</f>
        <v>12003</v>
      </c>
      <c r="G37" s="39" t="s">
        <v>106</v>
      </c>
      <c r="H37" s="45">
        <v>794</v>
      </c>
      <c r="I37" s="45" t="s">
        <v>107</v>
      </c>
      <c r="J37" s="62" t="s">
        <v>108</v>
      </c>
      <c r="K37" s="42" t="s">
        <v>109</v>
      </c>
      <c r="L37" s="37">
        <v>1561103400557</v>
      </c>
      <c r="M37" s="39" t="s">
        <v>110</v>
      </c>
      <c r="N37" s="38" t="s">
        <v>111</v>
      </c>
      <c r="O37" s="61">
        <v>721446354</v>
      </c>
      <c r="P37" s="39" t="s">
        <v>241</v>
      </c>
      <c r="Q37" s="38" t="s">
        <v>225</v>
      </c>
    </row>
    <row r="38" spans="1:19" ht="19.350000000000001" customHeight="1">
      <c r="A38" s="40">
        <v>6</v>
      </c>
      <c r="B38" s="53" t="s">
        <v>70</v>
      </c>
      <c r="C38" s="49" t="s">
        <v>55</v>
      </c>
      <c r="D38" s="37">
        <v>1520418400019</v>
      </c>
      <c r="E38" s="45">
        <f ca="1">DATEDIF(DATE(MID(D38,2,2),MID(D38,4,2),MID(D38,6,2)),TODAY(),"y")</f>
        <v>74</v>
      </c>
      <c r="F38" s="89">
        <f>DATE(IF(LEFT(D38,1)*1&lt;=2,MID(D38,2,2),MID(D38,2,2)+100),MID(D38,4,2),MID(D38,6,2))</f>
        <v>19102</v>
      </c>
      <c r="G38" s="39" t="s">
        <v>90</v>
      </c>
      <c r="H38" s="45">
        <v>777</v>
      </c>
      <c r="I38" s="45" t="s">
        <v>91</v>
      </c>
      <c r="J38" s="60" t="s">
        <v>92</v>
      </c>
      <c r="K38" s="42" t="s">
        <v>93</v>
      </c>
      <c r="L38" s="45">
        <v>6000822410061</v>
      </c>
      <c r="M38" s="39" t="s">
        <v>94</v>
      </c>
      <c r="N38" s="38" t="s">
        <v>95</v>
      </c>
      <c r="O38" s="61" t="s">
        <v>96</v>
      </c>
      <c r="P38" s="45" t="s">
        <v>242</v>
      </c>
      <c r="Q38" s="38" t="s">
        <v>225</v>
      </c>
      <c r="R38" s="86"/>
      <c r="S38" s="48"/>
    </row>
    <row r="39" spans="1:19" ht="19.350000000000001" customHeight="1">
      <c r="A39" s="40">
        <v>7</v>
      </c>
      <c r="B39" s="50" t="s">
        <v>74</v>
      </c>
      <c r="C39" s="51" t="s">
        <v>58</v>
      </c>
      <c r="D39" s="45">
        <v>1540214400084</v>
      </c>
      <c r="E39" s="45">
        <f t="shared" ref="E39" ca="1" si="4">DATEDIF(DATE(MID(D39,2,2),MID(D39,4,2),MID(D39,6,2)),TODAY(),"y")</f>
        <v>72</v>
      </c>
      <c r="F39" s="89">
        <f t="shared" ref="F39" si="5">DATE(IF(LEFT(D39,1)*1&lt;=2,MID(D39,2,2),MID(D39,2,2)+100),MID(D39,4,2),MID(D39,6,2))</f>
        <v>19769</v>
      </c>
      <c r="G39" s="41" t="s">
        <v>112</v>
      </c>
      <c r="H39" s="41">
        <v>322</v>
      </c>
      <c r="I39" s="41" t="s">
        <v>113</v>
      </c>
      <c r="J39" s="62" t="s">
        <v>114</v>
      </c>
      <c r="K39" s="63"/>
      <c r="L39" s="61"/>
      <c r="M39" s="38"/>
      <c r="N39" s="38"/>
      <c r="O39" s="38"/>
      <c r="P39" s="39" t="s">
        <v>257</v>
      </c>
      <c r="Q39" s="38" t="s">
        <v>256</v>
      </c>
    </row>
    <row r="40" spans="1:19" ht="19.350000000000001" customHeight="1">
      <c r="A40" s="40">
        <v>8</v>
      </c>
      <c r="B40" s="40" t="s">
        <v>258</v>
      </c>
      <c r="C40" s="52" t="s">
        <v>56</v>
      </c>
      <c r="D40" s="85">
        <v>1660313340031</v>
      </c>
      <c r="E40" s="45">
        <f t="shared" ref="E40" ca="1" si="6">DATEDIF(DATE(MID(D40,2,2),MID(D40,4,2),MID(D40,6,2)),TODAY(),"y")</f>
        <v>60</v>
      </c>
      <c r="F40" s="89">
        <f t="shared" ref="F40" si="7">DATE(IF(LEFT(D40,1)*1&lt;=2,MID(D40,2,2),MID(D40,2,2)+100),MID(D40,4,2),MID(D40,6,2))</f>
        <v>24179</v>
      </c>
      <c r="G40" s="39" t="s">
        <v>259</v>
      </c>
      <c r="H40" s="39">
        <v>136</v>
      </c>
      <c r="I40" s="39" t="s">
        <v>260</v>
      </c>
      <c r="J40" s="38" t="s">
        <v>261</v>
      </c>
      <c r="K40" s="40"/>
      <c r="L40" s="61"/>
      <c r="M40" s="38"/>
      <c r="N40" s="38"/>
      <c r="O40" s="38"/>
      <c r="P40" s="39" t="s">
        <v>263</v>
      </c>
      <c r="Q40" s="38" t="s">
        <v>264</v>
      </c>
    </row>
    <row r="41" spans="1:19" ht="19.350000000000001" customHeight="1">
      <c r="A41" s="40">
        <v>9</v>
      </c>
      <c r="B41" s="88" t="s">
        <v>250</v>
      </c>
      <c r="C41" s="84" t="s">
        <v>58</v>
      </c>
      <c r="D41" s="85">
        <v>2350620293111</v>
      </c>
      <c r="E41" s="45">
        <f t="shared" ref="E41:E46" ca="1" si="8">DATEDIF(DATE(MID(D41,2,2),MID(D41,4,2),MID(D41,6,2)),TODAY(),"y")</f>
        <v>91</v>
      </c>
      <c r="F41" s="89">
        <f t="shared" ref="F41:F46" si="9">DATE(IF(LEFT(D41,1)*1&lt;=2,MID(D41,2,2),MID(D41,2,2)+100),MID(D41,4,2),MID(D41,6,2))</f>
        <v>12955</v>
      </c>
      <c r="G41" s="138" t="s">
        <v>251</v>
      </c>
      <c r="H41" s="39">
        <v>111</v>
      </c>
      <c r="I41" s="66" t="s">
        <v>245</v>
      </c>
      <c r="J41" s="90" t="s">
        <v>252</v>
      </c>
      <c r="K41" s="40" t="s">
        <v>253</v>
      </c>
      <c r="L41" s="37">
        <v>1840731420046</v>
      </c>
      <c r="M41" s="39" t="s">
        <v>254</v>
      </c>
      <c r="N41" s="38" t="s">
        <v>255</v>
      </c>
      <c r="O41" s="39">
        <v>729155327</v>
      </c>
      <c r="P41" s="39" t="s">
        <v>300</v>
      </c>
      <c r="Q41" s="38" t="s">
        <v>225</v>
      </c>
    </row>
    <row r="42" spans="1:19" ht="19.350000000000001" customHeight="1">
      <c r="A42" s="40">
        <v>10</v>
      </c>
      <c r="B42" s="55" t="s">
        <v>80</v>
      </c>
      <c r="C42" s="130" t="s">
        <v>81</v>
      </c>
      <c r="D42" s="131">
        <v>2481031400556</v>
      </c>
      <c r="E42" s="19">
        <f t="shared" ca="1" si="8"/>
        <v>77</v>
      </c>
      <c r="F42" s="20">
        <f t="shared" si="9"/>
        <v>17837</v>
      </c>
      <c r="G42" s="132" t="s">
        <v>146</v>
      </c>
      <c r="H42" s="132">
        <v>172</v>
      </c>
      <c r="I42" s="132" t="s">
        <v>147</v>
      </c>
      <c r="J42" s="133" t="s">
        <v>148</v>
      </c>
      <c r="K42" s="134" t="s">
        <v>149</v>
      </c>
      <c r="L42" s="135">
        <v>1671126461513</v>
      </c>
      <c r="M42" s="132" t="s">
        <v>150</v>
      </c>
      <c r="N42" s="136" t="s">
        <v>148</v>
      </c>
      <c r="O42" s="120" t="s">
        <v>151</v>
      </c>
      <c r="P42" s="39" t="s">
        <v>322</v>
      </c>
      <c r="Q42" s="38" t="s">
        <v>323</v>
      </c>
    </row>
    <row r="43" spans="1:19" ht="19.350000000000001" customHeight="1">
      <c r="A43" s="40">
        <v>11</v>
      </c>
      <c r="B43" s="88" t="s">
        <v>280</v>
      </c>
      <c r="C43" s="84" t="s">
        <v>58</v>
      </c>
      <c r="D43" s="85">
        <v>1240410400292</v>
      </c>
      <c r="E43" s="45">
        <f t="shared" ca="1" si="8"/>
        <v>102</v>
      </c>
      <c r="F43" s="89">
        <f t="shared" si="9"/>
        <v>8867</v>
      </c>
      <c r="G43" s="39" t="s">
        <v>281</v>
      </c>
      <c r="H43" s="39">
        <v>170</v>
      </c>
      <c r="I43" s="66" t="s">
        <v>267</v>
      </c>
      <c r="J43" s="46" t="s">
        <v>282</v>
      </c>
      <c r="K43" s="40" t="s">
        <v>283</v>
      </c>
      <c r="L43" s="37">
        <v>1900115430088</v>
      </c>
      <c r="M43" s="39" t="s">
        <v>284</v>
      </c>
      <c r="N43" s="38" t="s">
        <v>285</v>
      </c>
      <c r="O43" s="39" t="s">
        <v>286</v>
      </c>
      <c r="P43" s="39" t="s">
        <v>324</v>
      </c>
      <c r="Q43" s="38" t="s">
        <v>323</v>
      </c>
    </row>
    <row r="44" spans="1:19" ht="19.350000000000001" customHeight="1">
      <c r="A44" s="40">
        <v>12</v>
      </c>
      <c r="B44" s="53" t="s">
        <v>308</v>
      </c>
      <c r="C44" s="57" t="s">
        <v>58</v>
      </c>
      <c r="D44" s="45">
        <v>1501010400721</v>
      </c>
      <c r="E44" s="19">
        <f t="shared" ca="1" si="8"/>
        <v>75</v>
      </c>
      <c r="F44" s="20">
        <f t="shared" si="9"/>
        <v>18546</v>
      </c>
      <c r="G44" s="41" t="s">
        <v>309</v>
      </c>
      <c r="H44" s="45">
        <v>314</v>
      </c>
      <c r="I44" s="45" t="s">
        <v>310</v>
      </c>
      <c r="J44" s="67" t="s">
        <v>311</v>
      </c>
      <c r="K44" s="63" t="s">
        <v>312</v>
      </c>
      <c r="L44" s="45">
        <v>2730317440014</v>
      </c>
      <c r="M44" s="41" t="s">
        <v>313</v>
      </c>
      <c r="N44" s="46" t="s">
        <v>314</v>
      </c>
      <c r="O44" s="45">
        <v>769867628</v>
      </c>
      <c r="P44" s="39" t="s">
        <v>338</v>
      </c>
      <c r="Q44" s="38" t="s">
        <v>63</v>
      </c>
    </row>
    <row r="45" spans="1:19" ht="19.350000000000001" customHeight="1">
      <c r="A45" s="40">
        <v>13</v>
      </c>
      <c r="B45" s="53" t="s">
        <v>298</v>
      </c>
      <c r="C45" s="57" t="s">
        <v>58</v>
      </c>
      <c r="D45" s="45">
        <v>2370926131211</v>
      </c>
      <c r="E45" s="19">
        <f t="shared" ca="1" si="8"/>
        <v>88</v>
      </c>
      <c r="F45" s="20">
        <f t="shared" si="9"/>
        <v>13784</v>
      </c>
      <c r="G45" s="41" t="s">
        <v>301</v>
      </c>
      <c r="H45" s="45">
        <v>255</v>
      </c>
      <c r="I45" s="45" t="s">
        <v>300</v>
      </c>
      <c r="J45" s="67" t="s">
        <v>299</v>
      </c>
      <c r="K45" s="63" t="s">
        <v>302</v>
      </c>
      <c r="L45" s="45">
        <v>2630306400555</v>
      </c>
      <c r="M45" s="41" t="s">
        <v>303</v>
      </c>
      <c r="N45" s="46" t="s">
        <v>304</v>
      </c>
      <c r="O45" s="45">
        <v>723188686</v>
      </c>
      <c r="P45" s="39" t="s">
        <v>339</v>
      </c>
      <c r="Q45" s="38" t="s">
        <v>63</v>
      </c>
    </row>
    <row r="46" spans="1:19" ht="19.350000000000001" customHeight="1">
      <c r="A46" s="40">
        <v>14</v>
      </c>
      <c r="B46" s="53" t="s">
        <v>333</v>
      </c>
      <c r="C46" s="57" t="s">
        <v>59</v>
      </c>
      <c r="D46" s="45">
        <v>1420517173171</v>
      </c>
      <c r="E46" s="19">
        <f t="shared" ca="1" si="8"/>
        <v>84</v>
      </c>
      <c r="F46" s="20">
        <f t="shared" si="9"/>
        <v>15478</v>
      </c>
      <c r="G46" s="41" t="s">
        <v>334</v>
      </c>
      <c r="H46" s="45">
        <v>350</v>
      </c>
      <c r="I46" s="45" t="s">
        <v>335</v>
      </c>
      <c r="J46" s="67" t="s">
        <v>336</v>
      </c>
      <c r="K46" s="63" t="s">
        <v>169</v>
      </c>
      <c r="L46" s="45">
        <v>2770809173174</v>
      </c>
      <c r="M46" s="41" t="s">
        <v>170</v>
      </c>
      <c r="N46" s="46" t="s">
        <v>337</v>
      </c>
      <c r="O46" s="119" t="s">
        <v>172</v>
      </c>
      <c r="P46" s="39" t="s">
        <v>346</v>
      </c>
      <c r="Q46" s="38" t="s">
        <v>63</v>
      </c>
    </row>
    <row r="47" spans="1:19" ht="19.350000000000001" customHeight="1">
      <c r="A47" s="40">
        <v>15</v>
      </c>
      <c r="B47" s="88" t="s">
        <v>243</v>
      </c>
      <c r="C47" s="84" t="s">
        <v>58</v>
      </c>
      <c r="D47" s="85">
        <v>2431018400811</v>
      </c>
      <c r="E47" s="45">
        <f t="shared" ref="E47:E52" ca="1" si="10">DATEDIF(DATE(MID(D47,2,2),MID(D47,4,2),MID(D47,6,2)),TODAY(),"y")</f>
        <v>82</v>
      </c>
      <c r="F47" s="89">
        <f t="shared" ref="F47:F52" si="11">DATE(IF(LEFT(D47,1)*1&lt;=2,MID(D47,2,2),MID(D47,2,2)+100),MID(D47,4,2),MID(D47,6,2))</f>
        <v>15997</v>
      </c>
      <c r="G47" s="155" t="s">
        <v>244</v>
      </c>
      <c r="H47" s="39">
        <v>97</v>
      </c>
      <c r="I47" s="66" t="s">
        <v>245</v>
      </c>
      <c r="J47" s="128" t="s">
        <v>246</v>
      </c>
      <c r="K47" s="40" t="s">
        <v>247</v>
      </c>
      <c r="L47" s="37">
        <v>2680109521590</v>
      </c>
      <c r="M47" s="39" t="s">
        <v>248</v>
      </c>
      <c r="N47" s="139" t="s">
        <v>249</v>
      </c>
      <c r="O47" s="39">
        <v>771158105</v>
      </c>
      <c r="P47" s="39" t="s">
        <v>349</v>
      </c>
      <c r="Q47" s="38" t="s">
        <v>63</v>
      </c>
    </row>
    <row r="48" spans="1:19" ht="19.350000000000001" customHeight="1">
      <c r="A48" s="40">
        <v>16</v>
      </c>
      <c r="B48" s="137" t="s">
        <v>85</v>
      </c>
      <c r="C48" s="57" t="s">
        <v>56</v>
      </c>
      <c r="D48" s="45">
        <v>1530303400268</v>
      </c>
      <c r="E48" s="19">
        <f t="shared" ca="1" si="10"/>
        <v>73</v>
      </c>
      <c r="F48" s="20">
        <f t="shared" si="11"/>
        <v>19421</v>
      </c>
      <c r="G48" s="41" t="s">
        <v>174</v>
      </c>
      <c r="H48" s="45">
        <v>1088</v>
      </c>
      <c r="I48" s="45" t="s">
        <v>175</v>
      </c>
      <c r="J48" s="46" t="s">
        <v>176</v>
      </c>
      <c r="K48" s="63" t="s">
        <v>177</v>
      </c>
      <c r="L48" s="45">
        <v>2800411450029</v>
      </c>
      <c r="M48" s="41" t="s">
        <v>178</v>
      </c>
      <c r="N48" s="46" t="s">
        <v>176</v>
      </c>
      <c r="O48" s="45">
        <v>745029005</v>
      </c>
      <c r="P48" s="39" t="s">
        <v>382</v>
      </c>
      <c r="Q48" s="38" t="s">
        <v>63</v>
      </c>
    </row>
    <row r="49" spans="1:17" ht="19.350000000000001" customHeight="1">
      <c r="A49" s="40">
        <v>17</v>
      </c>
      <c r="B49" s="137" t="s">
        <v>356</v>
      </c>
      <c r="C49" s="57" t="s">
        <v>55</v>
      </c>
      <c r="D49" s="45">
        <v>2310502173171</v>
      </c>
      <c r="E49" s="19">
        <f t="shared" ca="1" si="10"/>
        <v>95</v>
      </c>
      <c r="F49" s="20">
        <f t="shared" si="11"/>
        <v>11445</v>
      </c>
      <c r="G49" s="41" t="s">
        <v>358</v>
      </c>
      <c r="H49" s="45">
        <v>431</v>
      </c>
      <c r="I49" s="45" t="s">
        <v>359</v>
      </c>
      <c r="J49" s="67" t="s">
        <v>360</v>
      </c>
      <c r="K49" s="63" t="s">
        <v>361</v>
      </c>
      <c r="L49" s="45">
        <v>2560720224512</v>
      </c>
      <c r="M49" s="41" t="s">
        <v>362</v>
      </c>
      <c r="N49" s="67" t="s">
        <v>373</v>
      </c>
      <c r="O49" s="150" t="s">
        <v>372</v>
      </c>
      <c r="P49" s="39" t="s">
        <v>395</v>
      </c>
      <c r="Q49" s="38" t="s">
        <v>396</v>
      </c>
    </row>
    <row r="50" spans="1:17" ht="19.350000000000001" customHeight="1">
      <c r="A50" s="40">
        <v>18</v>
      </c>
      <c r="B50" s="88" t="s">
        <v>295</v>
      </c>
      <c r="C50" s="84" t="s">
        <v>56</v>
      </c>
      <c r="D50" s="37">
        <v>1530903400083</v>
      </c>
      <c r="E50" s="37">
        <f t="shared" ca="1" si="10"/>
        <v>72</v>
      </c>
      <c r="F50" s="121">
        <f t="shared" si="11"/>
        <v>19605</v>
      </c>
      <c r="G50" s="39" t="s">
        <v>296</v>
      </c>
      <c r="H50" s="39">
        <v>184</v>
      </c>
      <c r="I50" s="39" t="s">
        <v>267</v>
      </c>
      <c r="J50" s="38" t="s">
        <v>297</v>
      </c>
      <c r="K50" s="40"/>
      <c r="L50" s="37"/>
      <c r="M50" s="38"/>
      <c r="N50" s="38"/>
      <c r="O50" s="38"/>
      <c r="P50" s="39" t="s">
        <v>415</v>
      </c>
      <c r="Q50" s="38" t="s">
        <v>63</v>
      </c>
    </row>
    <row r="51" spans="1:17" ht="19.350000000000001" customHeight="1">
      <c r="A51" s="40">
        <v>19</v>
      </c>
      <c r="B51" s="137" t="s">
        <v>399</v>
      </c>
      <c r="C51" s="57" t="s">
        <v>81</v>
      </c>
      <c r="D51" s="45">
        <v>1540914292071</v>
      </c>
      <c r="E51" s="19">
        <f t="shared" ca="1" si="10"/>
        <v>71</v>
      </c>
      <c r="F51" s="20">
        <f t="shared" si="11"/>
        <v>19981</v>
      </c>
      <c r="G51" s="41" t="s">
        <v>400</v>
      </c>
      <c r="H51" s="45">
        <v>595</v>
      </c>
      <c r="I51" s="45" t="s">
        <v>401</v>
      </c>
      <c r="J51" s="67" t="s">
        <v>402</v>
      </c>
      <c r="K51" s="63" t="s">
        <v>403</v>
      </c>
      <c r="L51" s="45">
        <v>1840227295592</v>
      </c>
      <c r="M51" s="41" t="s">
        <v>404</v>
      </c>
      <c r="N51" s="46" t="s">
        <v>405</v>
      </c>
      <c r="O51" s="150" t="s">
        <v>406</v>
      </c>
      <c r="P51" s="39" t="s">
        <v>417</v>
      </c>
      <c r="Q51" s="38" t="s">
        <v>416</v>
      </c>
    </row>
    <row r="52" spans="1:17" ht="19.350000000000001" customHeight="1">
      <c r="A52" s="40">
        <v>20</v>
      </c>
      <c r="B52" s="137" t="s">
        <v>391</v>
      </c>
      <c r="C52" s="57" t="s">
        <v>58</v>
      </c>
      <c r="D52" s="45">
        <v>2380516400551</v>
      </c>
      <c r="E52" s="19">
        <f t="shared" ca="1" si="10"/>
        <v>88</v>
      </c>
      <c r="F52" s="20">
        <f t="shared" si="11"/>
        <v>14016</v>
      </c>
      <c r="G52" s="41" t="s">
        <v>392</v>
      </c>
      <c r="H52" s="45">
        <v>541</v>
      </c>
      <c r="I52" s="45" t="s">
        <v>385</v>
      </c>
      <c r="J52" s="67" t="s">
        <v>393</v>
      </c>
      <c r="K52" s="63" t="s">
        <v>387</v>
      </c>
      <c r="L52" s="45" t="s">
        <v>388</v>
      </c>
      <c r="M52" s="41" t="s">
        <v>389</v>
      </c>
      <c r="N52" s="46" t="s">
        <v>390</v>
      </c>
      <c r="O52" s="45">
        <v>729090461</v>
      </c>
      <c r="P52" s="39" t="s">
        <v>437</v>
      </c>
      <c r="Q52" s="38" t="s">
        <v>225</v>
      </c>
    </row>
    <row r="53" spans="1:17" ht="19.350000000000001" customHeight="1">
      <c r="A53" s="40">
        <v>21</v>
      </c>
      <c r="B53" s="158" t="s">
        <v>205</v>
      </c>
      <c r="C53" s="159" t="s">
        <v>58</v>
      </c>
      <c r="D53" s="124">
        <v>1611119400458</v>
      </c>
      <c r="E53" s="92">
        <f ca="1">DATEDIF(DATE(MID(D53,2,2),MID(D53,4,2),MID(D53,6,2)),TODAY(),"y")</f>
        <v>64</v>
      </c>
      <c r="F53" s="93">
        <f>DATE(IF(LEFT(D53,1)*1&lt;=2,MID(D53,2,2),MID(D53,2,2)+100),MID(D53,4,2),MID(D53,6,2))</f>
        <v>22604</v>
      </c>
      <c r="G53" s="124" t="s">
        <v>212</v>
      </c>
      <c r="H53" s="124">
        <v>279</v>
      </c>
      <c r="I53" s="124" t="s">
        <v>213</v>
      </c>
      <c r="J53" s="160" t="s">
        <v>214</v>
      </c>
      <c r="K53" s="161" t="s">
        <v>215</v>
      </c>
      <c r="L53" s="162">
        <v>5001225420021</v>
      </c>
      <c r="M53" s="162" t="s">
        <v>216</v>
      </c>
      <c r="N53" s="163" t="s">
        <v>217</v>
      </c>
      <c r="O53" s="162">
        <v>769725566</v>
      </c>
      <c r="P53" s="39" t="s">
        <v>441</v>
      </c>
      <c r="Q53" s="38" t="s">
        <v>63</v>
      </c>
    </row>
    <row r="54" spans="1:17" ht="19.350000000000001" customHeight="1">
      <c r="A54" s="40">
        <v>22</v>
      </c>
      <c r="B54" s="137" t="s">
        <v>429</v>
      </c>
      <c r="C54" s="45" t="s">
        <v>56</v>
      </c>
      <c r="D54" s="45">
        <v>2420307400135</v>
      </c>
      <c r="E54" s="19">
        <f ca="1">DATEDIF(DATE(MID(D54,2,2),MID(D54,4,2),MID(D54,6,2)),TODAY(),"y")</f>
        <v>84</v>
      </c>
      <c r="F54" s="20">
        <f>DATE(IF(LEFT(D54,1)*1&lt;=2,MID(D54,2,2),MID(D54,2,2)+100),MID(D54,4,2),MID(D54,6,2))</f>
        <v>15407</v>
      </c>
      <c r="G54" s="41" t="s">
        <v>430</v>
      </c>
      <c r="H54" s="45">
        <v>676</v>
      </c>
      <c r="I54" s="45" t="s">
        <v>431</v>
      </c>
      <c r="J54" s="67" t="s">
        <v>432</v>
      </c>
      <c r="K54" s="63" t="s">
        <v>433</v>
      </c>
      <c r="L54" s="45">
        <v>1591030400249</v>
      </c>
      <c r="M54" s="41" t="s">
        <v>434</v>
      </c>
      <c r="N54" s="46" t="s">
        <v>436</v>
      </c>
      <c r="O54" s="150">
        <v>744658585</v>
      </c>
      <c r="P54" s="39" t="s">
        <v>442</v>
      </c>
      <c r="Q54" s="38" t="s">
        <v>443</v>
      </c>
    </row>
    <row r="55" spans="1:17" ht="19.350000000000001" customHeight="1">
      <c r="A55" s="40">
        <v>23</v>
      </c>
      <c r="B55" s="137" t="s">
        <v>408</v>
      </c>
      <c r="C55" s="45" t="s">
        <v>58</v>
      </c>
      <c r="D55" s="45">
        <v>1550330400430</v>
      </c>
      <c r="E55" s="19">
        <f ca="1">DATEDIF(DATE(MID(D55,2,2),MID(D55,4,2),MID(D55,6,2)),TODAY(),"y")</f>
        <v>71</v>
      </c>
      <c r="F55" s="20">
        <f>DATE(IF(LEFT(D55,1)*1&lt;=2,MID(D55,2,2),MID(D55,2,2)+100),MID(D55,4,2),MID(D55,6,2))</f>
        <v>20178</v>
      </c>
      <c r="G55" s="41" t="s">
        <v>409</v>
      </c>
      <c r="H55" s="45">
        <v>661</v>
      </c>
      <c r="I55" s="45" t="s">
        <v>410</v>
      </c>
      <c r="J55" s="67" t="s">
        <v>411</v>
      </c>
      <c r="K55" s="63" t="s">
        <v>412</v>
      </c>
      <c r="L55" s="45">
        <v>1790530464514</v>
      </c>
      <c r="M55" s="41" t="s">
        <v>413</v>
      </c>
      <c r="N55" s="46" t="s">
        <v>414</v>
      </c>
      <c r="O55" s="150">
        <v>743093779</v>
      </c>
      <c r="P55" s="39" t="s">
        <v>445</v>
      </c>
      <c r="Q55" s="38" t="s">
        <v>444</v>
      </c>
    </row>
    <row r="56" spans="1:17" ht="19.350000000000001" customHeight="1">
      <c r="A56" s="40">
        <v>24</v>
      </c>
      <c r="B56" s="137" t="s">
        <v>350</v>
      </c>
      <c r="C56" s="45" t="s">
        <v>55</v>
      </c>
      <c r="D56" s="45">
        <v>2380304131211</v>
      </c>
      <c r="E56" s="19">
        <f ca="1">DATEDIF(DATE(MID(D56,2,2),MID(D56,4,2),MID(D56,6,2)),TODAY(),"y")</f>
        <v>88</v>
      </c>
      <c r="F56" s="20">
        <f>DATE(IF(LEFT(D56,1)*1&lt;=2,MID(D56,2,2),MID(D56,2,2)+100),MID(D56,4,2),MID(D56,6,2))</f>
        <v>13943</v>
      </c>
      <c r="G56" s="41" t="s">
        <v>351</v>
      </c>
      <c r="H56" s="45">
        <v>417</v>
      </c>
      <c r="I56" s="45" t="s">
        <v>352</v>
      </c>
      <c r="J56" s="67" t="s">
        <v>353</v>
      </c>
      <c r="K56" s="63" t="s">
        <v>354</v>
      </c>
      <c r="L56" s="45">
        <v>2600813400716</v>
      </c>
      <c r="M56" s="41" t="s">
        <v>355</v>
      </c>
      <c r="N56" s="46" t="s">
        <v>369</v>
      </c>
      <c r="O56" s="45">
        <v>724685189</v>
      </c>
      <c r="P56" s="39" t="s">
        <v>446</v>
      </c>
      <c r="Q56" s="38" t="s">
        <v>443</v>
      </c>
    </row>
    <row r="57" spans="1:17" ht="19.350000000000001" customHeight="1">
      <c r="A57" s="113"/>
      <c r="B57" s="113"/>
      <c r="C57" s="113"/>
      <c r="D57" s="114"/>
      <c r="E57" s="115"/>
      <c r="F57" s="116"/>
      <c r="G57" s="117"/>
      <c r="H57" s="117"/>
      <c r="I57" s="117"/>
      <c r="J57" s="117"/>
      <c r="K57" s="113"/>
      <c r="L57" s="118"/>
      <c r="M57" s="117"/>
      <c r="N57" s="117"/>
      <c r="O57" s="117"/>
      <c r="P57" s="117"/>
      <c r="Q57" s="117"/>
    </row>
    <row r="58" spans="1:17" ht="19.350000000000001" customHeight="1">
      <c r="A58" s="113"/>
      <c r="B58" s="113"/>
      <c r="C58" s="113"/>
      <c r="D58" s="114"/>
      <c r="E58" s="115"/>
      <c r="F58" s="116"/>
      <c r="G58" s="117"/>
      <c r="H58" s="117"/>
      <c r="I58" s="117"/>
      <c r="J58" s="117"/>
      <c r="K58" s="113"/>
      <c r="L58" s="118"/>
      <c r="M58" s="117"/>
      <c r="N58" s="117"/>
      <c r="O58" s="117"/>
      <c r="P58" s="117"/>
      <c r="Q58" s="117"/>
    </row>
    <row r="59" spans="1:17" ht="19.350000000000001" customHeight="1">
      <c r="A59" s="113"/>
      <c r="B59" s="113"/>
      <c r="C59" s="113"/>
      <c r="D59" s="114"/>
      <c r="E59" s="115"/>
      <c r="F59" s="116"/>
      <c r="G59" s="117"/>
      <c r="H59" s="117"/>
      <c r="I59" s="117"/>
      <c r="J59" s="117"/>
      <c r="K59" s="113"/>
      <c r="L59" s="118"/>
      <c r="M59" s="117"/>
      <c r="N59" s="117"/>
      <c r="O59" s="117"/>
      <c r="P59" s="117"/>
      <c r="Q59" s="117"/>
    </row>
    <row r="60" spans="1:17" ht="19.350000000000001" customHeight="1">
      <c r="A60" s="113"/>
      <c r="B60" s="113"/>
      <c r="C60" s="113"/>
      <c r="D60" s="114"/>
      <c r="E60" s="115"/>
      <c r="F60" s="116"/>
      <c r="G60" s="117"/>
      <c r="H60" s="117"/>
      <c r="I60" s="117"/>
      <c r="J60" s="117"/>
      <c r="K60" s="113"/>
      <c r="L60" s="118"/>
      <c r="M60" s="117"/>
      <c r="N60" s="117"/>
      <c r="O60" s="117"/>
      <c r="P60" s="117"/>
      <c r="Q60" s="117"/>
    </row>
    <row r="61" spans="1:17" ht="19.350000000000001" customHeight="1">
      <c r="A61" s="113"/>
      <c r="B61" s="113"/>
      <c r="C61" s="113"/>
      <c r="D61" s="114"/>
      <c r="E61" s="115"/>
      <c r="F61" s="116"/>
      <c r="G61" s="117"/>
      <c r="H61" s="117"/>
      <c r="I61" s="117"/>
      <c r="J61" s="117"/>
      <c r="K61" s="113"/>
      <c r="L61" s="118"/>
      <c r="M61" s="117"/>
      <c r="N61" s="117"/>
      <c r="O61" s="117"/>
      <c r="P61" s="117"/>
      <c r="Q61" s="117"/>
    </row>
    <row r="62" spans="1:17" ht="19.350000000000001" customHeight="1">
      <c r="A62" s="113"/>
      <c r="B62" s="113"/>
      <c r="C62" s="113"/>
      <c r="D62" s="114"/>
      <c r="E62" s="115"/>
      <c r="F62" s="116"/>
      <c r="G62" s="117"/>
      <c r="H62" s="117"/>
      <c r="I62" s="117"/>
      <c r="J62" s="117"/>
      <c r="K62" s="113"/>
      <c r="L62" s="118"/>
      <c r="M62" s="117"/>
      <c r="N62" s="117"/>
      <c r="O62" s="117"/>
      <c r="P62" s="117"/>
      <c r="Q62" s="117"/>
    </row>
    <row r="63" spans="1:17" ht="19.350000000000001" customHeight="1">
      <c r="A63" s="113"/>
      <c r="B63" s="113"/>
      <c r="C63" s="113"/>
      <c r="D63" s="114"/>
      <c r="E63" s="115"/>
      <c r="F63" s="116"/>
      <c r="G63" s="117"/>
      <c r="H63" s="117"/>
      <c r="I63" s="117"/>
      <c r="J63" s="117"/>
      <c r="K63" s="113"/>
      <c r="L63" s="118"/>
      <c r="M63" s="117"/>
      <c r="N63" s="117"/>
      <c r="O63" s="117"/>
      <c r="P63" s="117"/>
      <c r="Q63" s="117"/>
    </row>
    <row r="64" spans="1:17" ht="19.350000000000001" customHeight="1">
      <c r="A64" s="113"/>
      <c r="B64" s="113"/>
      <c r="C64" s="113"/>
      <c r="D64" s="114"/>
      <c r="E64" s="115"/>
      <c r="F64" s="116"/>
      <c r="G64" s="117"/>
      <c r="H64" s="117"/>
      <c r="I64" s="117"/>
      <c r="J64" s="117"/>
      <c r="K64" s="113"/>
      <c r="L64" s="118"/>
      <c r="M64" s="117"/>
      <c r="N64" s="117"/>
      <c r="O64" s="117"/>
      <c r="P64" s="117"/>
      <c r="Q64" s="117"/>
    </row>
    <row r="65" spans="1:17" ht="19.350000000000001" customHeight="1">
      <c r="A65" s="113"/>
      <c r="B65" s="113"/>
      <c r="C65" s="113"/>
      <c r="D65" s="114"/>
      <c r="E65" s="115"/>
      <c r="F65" s="116"/>
      <c r="G65" s="117"/>
      <c r="H65" s="117"/>
      <c r="I65" s="117"/>
      <c r="J65" s="117"/>
      <c r="K65" s="113"/>
      <c r="L65" s="118"/>
      <c r="M65" s="117"/>
      <c r="N65" s="117"/>
      <c r="O65" s="117"/>
      <c r="P65" s="117"/>
      <c r="Q65" s="117"/>
    </row>
    <row r="66" spans="1:17" ht="19.350000000000001" customHeight="1">
      <c r="A66" s="113"/>
      <c r="B66" s="113"/>
      <c r="C66" s="113"/>
      <c r="D66" s="114"/>
      <c r="E66" s="115"/>
      <c r="F66" s="116"/>
      <c r="G66" s="117"/>
      <c r="H66" s="117"/>
      <c r="I66" s="117"/>
      <c r="J66" s="117"/>
      <c r="K66" s="113"/>
      <c r="L66" s="118"/>
      <c r="M66" s="117"/>
      <c r="N66" s="117"/>
      <c r="O66" s="117"/>
      <c r="P66" s="117"/>
      <c r="Q66" s="117"/>
    </row>
    <row r="67" spans="1:17" ht="19.350000000000001" customHeight="1">
      <c r="A67" s="113"/>
      <c r="B67" s="113"/>
      <c r="C67" s="113"/>
      <c r="D67" s="114"/>
      <c r="E67" s="115"/>
      <c r="F67" s="116"/>
      <c r="G67" s="117"/>
      <c r="H67" s="117"/>
      <c r="I67" s="117"/>
      <c r="J67" s="117"/>
      <c r="K67" s="113"/>
      <c r="L67" s="118"/>
      <c r="M67" s="117"/>
      <c r="N67" s="117"/>
      <c r="O67" s="117"/>
      <c r="P67" s="117"/>
      <c r="Q67" s="117"/>
    </row>
    <row r="68" spans="1:17" ht="19.350000000000001" customHeight="1">
      <c r="A68" s="113"/>
      <c r="B68" s="113"/>
      <c r="C68" s="113"/>
      <c r="D68" s="114"/>
      <c r="E68" s="115"/>
      <c r="F68" s="116"/>
      <c r="G68" s="117"/>
      <c r="H68" s="117"/>
      <c r="I68" s="117"/>
      <c r="J68" s="117"/>
      <c r="K68" s="113"/>
      <c r="L68" s="118"/>
      <c r="M68" s="117"/>
      <c r="N68" s="117"/>
      <c r="O68" s="117"/>
      <c r="P68" s="117"/>
      <c r="Q68" s="117"/>
    </row>
    <row r="69" spans="1:17" ht="19.350000000000001" customHeight="1">
      <c r="A69" s="113"/>
      <c r="B69" s="113"/>
      <c r="C69" s="113"/>
      <c r="D69" s="114"/>
      <c r="E69" s="115"/>
      <c r="F69" s="116"/>
      <c r="G69" s="117"/>
      <c r="H69" s="117"/>
      <c r="I69" s="117"/>
      <c r="J69" s="117"/>
      <c r="K69" s="113"/>
      <c r="L69" s="118"/>
      <c r="M69" s="117"/>
      <c r="N69" s="117"/>
      <c r="O69" s="117"/>
      <c r="P69" s="117"/>
      <c r="Q69" s="117"/>
    </row>
    <row r="70" spans="1:17" ht="19.350000000000001" customHeight="1">
      <c r="A70" s="113"/>
      <c r="B70" s="113"/>
      <c r="C70" s="113"/>
      <c r="D70" s="114"/>
      <c r="E70" s="115"/>
      <c r="F70" s="116"/>
      <c r="G70" s="117"/>
      <c r="H70" s="117"/>
      <c r="I70" s="117"/>
      <c r="J70" s="117"/>
      <c r="K70" s="113"/>
      <c r="L70" s="118"/>
      <c r="M70" s="117"/>
      <c r="N70" s="117"/>
      <c r="O70" s="117"/>
      <c r="P70" s="117"/>
      <c r="Q70" s="117"/>
    </row>
    <row r="71" spans="1:17" ht="19.350000000000001" customHeight="1">
      <c r="A71" s="113"/>
      <c r="B71" s="113"/>
      <c r="C71" s="113"/>
      <c r="D71" s="114"/>
      <c r="E71" s="115"/>
      <c r="F71" s="116"/>
      <c r="G71" s="117"/>
      <c r="H71" s="117"/>
      <c r="I71" s="117"/>
      <c r="J71" s="117"/>
      <c r="K71" s="113"/>
      <c r="L71" s="118"/>
      <c r="M71" s="117"/>
      <c r="N71" s="117"/>
      <c r="O71" s="117"/>
      <c r="P71" s="117"/>
      <c r="Q71" s="117"/>
    </row>
    <row r="72" spans="1:17" ht="19.350000000000001" customHeight="1">
      <c r="A72" s="113"/>
      <c r="B72" s="113"/>
      <c r="C72" s="113"/>
      <c r="D72" s="114"/>
      <c r="E72" s="115"/>
      <c r="F72" s="116"/>
      <c r="G72" s="117"/>
      <c r="H72" s="117"/>
      <c r="I72" s="117"/>
      <c r="J72" s="117"/>
      <c r="K72" s="113"/>
      <c r="L72" s="118"/>
      <c r="M72" s="117"/>
      <c r="N72" s="117"/>
      <c r="O72" s="117"/>
      <c r="P72" s="117"/>
      <c r="Q72" s="117"/>
    </row>
    <row r="73" spans="1:17" ht="19.350000000000001" customHeight="1">
      <c r="A73" s="113"/>
      <c r="B73" s="113"/>
      <c r="C73" s="113"/>
      <c r="D73" s="114"/>
      <c r="E73" s="115"/>
      <c r="F73" s="116"/>
      <c r="G73" s="117"/>
      <c r="H73" s="117"/>
      <c r="I73" s="117"/>
      <c r="J73" s="117"/>
      <c r="K73" s="113"/>
      <c r="L73" s="118"/>
      <c r="M73" s="117"/>
      <c r="N73" s="117"/>
      <c r="O73" s="117"/>
      <c r="P73" s="117"/>
      <c r="Q73" s="117"/>
    </row>
    <row r="74" spans="1:17" ht="19.350000000000001" customHeight="1">
      <c r="A74" s="113"/>
      <c r="B74" s="113"/>
      <c r="C74" s="113"/>
      <c r="D74" s="114"/>
      <c r="E74" s="115"/>
      <c r="F74" s="116"/>
      <c r="G74" s="117"/>
      <c r="H74" s="117"/>
      <c r="I74" s="117"/>
      <c r="J74" s="117"/>
      <c r="K74" s="113"/>
      <c r="L74" s="118"/>
      <c r="M74" s="117"/>
      <c r="N74" s="117"/>
      <c r="O74" s="117"/>
      <c r="P74" s="117"/>
      <c r="Q74" s="117"/>
    </row>
    <row r="75" spans="1:17" ht="19.350000000000001" customHeight="1">
      <c r="A75" s="113"/>
      <c r="B75" s="113"/>
      <c r="C75" s="113"/>
      <c r="D75" s="114"/>
      <c r="E75" s="115"/>
      <c r="F75" s="116"/>
      <c r="G75" s="117"/>
      <c r="H75" s="117"/>
      <c r="I75" s="117"/>
      <c r="J75" s="117"/>
      <c r="K75" s="113"/>
      <c r="L75" s="118"/>
      <c r="M75" s="117"/>
      <c r="N75" s="117"/>
      <c r="O75" s="117"/>
      <c r="P75" s="117"/>
      <c r="Q75" s="117"/>
    </row>
    <row r="76" spans="1:17" ht="19.350000000000001" customHeight="1">
      <c r="A76" s="113"/>
      <c r="B76" s="113"/>
      <c r="C76" s="113"/>
      <c r="D76" s="114"/>
      <c r="E76" s="115"/>
      <c r="F76" s="116"/>
      <c r="G76" s="117"/>
      <c r="H76" s="117"/>
      <c r="I76" s="117"/>
      <c r="J76" s="117"/>
      <c r="K76" s="113"/>
      <c r="L76" s="118"/>
      <c r="M76" s="117"/>
      <c r="N76" s="117"/>
      <c r="O76" s="117"/>
      <c r="P76" s="117"/>
      <c r="Q76" s="117"/>
    </row>
    <row r="77" spans="1:17" ht="19.350000000000001" customHeight="1">
      <c r="A77" s="113"/>
      <c r="B77" s="113"/>
      <c r="C77" s="113"/>
      <c r="D77" s="114"/>
      <c r="E77" s="115"/>
      <c r="F77" s="116"/>
      <c r="G77" s="117"/>
      <c r="H77" s="117"/>
      <c r="I77" s="117"/>
      <c r="J77" s="117"/>
      <c r="K77" s="113"/>
      <c r="L77" s="118"/>
      <c r="M77" s="117"/>
      <c r="N77" s="117"/>
      <c r="O77" s="117"/>
      <c r="P77" s="117"/>
      <c r="Q77" s="117"/>
    </row>
  </sheetData>
  <sortState xmlns:xlrd2="http://schemas.microsoft.com/office/spreadsheetml/2017/richdata2" ref="B3:S28">
    <sortCondition ref="B3:B28"/>
  </sortState>
  <phoneticPr fontId="29" type="noConversion"/>
  <hyperlinks>
    <hyperlink ref="S26" r:id="rId1" xr:uid="{A13B3C94-DDC2-4188-B446-A3317D460490}"/>
    <hyperlink ref="S23" r:id="rId2" xr:uid="{5C037B3B-D057-4238-A5EC-B79C47ECF44E}"/>
    <hyperlink ref="S7" r:id="rId3" xr:uid="{133591A7-C3EE-491F-9264-89F8FBBFF14E}"/>
    <hyperlink ref="S17" r:id="rId4" xr:uid="{6CDFF240-627A-4AE9-B562-495C4EAB44AF}"/>
    <hyperlink ref="S24" r:id="rId5" xr:uid="{C986BFDB-8B9F-4EAB-A2CD-8D6314D32C42}"/>
    <hyperlink ref="S4" r:id="rId6" xr:uid="{248BDA86-D5CB-4FCC-A398-9A600A9F9DAB}"/>
    <hyperlink ref="S25" r:id="rId7" xr:uid="{3805774A-C87E-4713-94EB-0BAFB20559ED}"/>
    <hyperlink ref="S8" r:id="rId8" xr:uid="{78C4DE06-8B26-4EAD-83BE-FB84154A1C45}"/>
  </hyperlinks>
  <pageMargins left="0.7" right="0.7" top="0.75" bottom="0.75" header="0.3" footer="0.3"/>
  <pageSetup orientation="landscape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selection activeCell="C2" sqref="C2:C34"/>
    </sheetView>
  </sheetViews>
  <sheetFormatPr defaultColWidth="8.88671875" defaultRowHeight="14.4"/>
  <cols>
    <col min="1" max="1" width="6.109375" customWidth="1"/>
    <col min="2" max="2" width="23.88671875" customWidth="1"/>
    <col min="3" max="3" width="21.44140625" style="1" customWidth="1"/>
  </cols>
  <sheetData>
    <row r="1" spans="1:3" ht="15.6">
      <c r="A1" s="2" t="s">
        <v>0</v>
      </c>
      <c r="B1" s="3" t="s">
        <v>1</v>
      </c>
      <c r="C1" s="4" t="s">
        <v>36</v>
      </c>
    </row>
    <row r="2" spans="1:3">
      <c r="A2" s="5">
        <v>1</v>
      </c>
      <c r="B2" s="6" t="s">
        <v>6</v>
      </c>
      <c r="C2" s="7" t="s">
        <v>37</v>
      </c>
    </row>
    <row r="3" spans="1:3">
      <c r="A3" s="5">
        <v>2</v>
      </c>
      <c r="B3" s="6" t="s">
        <v>7</v>
      </c>
      <c r="C3" s="7" t="s">
        <v>38</v>
      </c>
    </row>
    <row r="4" spans="1:3">
      <c r="A4" s="5">
        <v>3</v>
      </c>
      <c r="B4" s="6" t="s">
        <v>8</v>
      </c>
      <c r="C4" s="7" t="s">
        <v>38</v>
      </c>
    </row>
    <row r="5" spans="1:3">
      <c r="A5" s="5">
        <v>4</v>
      </c>
      <c r="B5" s="6" t="s">
        <v>34</v>
      </c>
      <c r="C5" s="7" t="s">
        <v>39</v>
      </c>
    </row>
    <row r="6" spans="1:3">
      <c r="A6" s="5">
        <v>5</v>
      </c>
      <c r="B6" s="6" t="s">
        <v>9</v>
      </c>
      <c r="C6" s="7" t="s">
        <v>37</v>
      </c>
    </row>
    <row r="7" spans="1:3">
      <c r="A7" s="5">
        <v>6</v>
      </c>
      <c r="B7" s="6" t="s">
        <v>42</v>
      </c>
      <c r="C7" s="7" t="s">
        <v>43</v>
      </c>
    </row>
    <row r="8" spans="1:3">
      <c r="A8" s="5">
        <v>7</v>
      </c>
      <c r="B8" s="6" t="s">
        <v>10</v>
      </c>
      <c r="C8" s="7" t="s">
        <v>39</v>
      </c>
    </row>
    <row r="9" spans="1:3">
      <c r="A9" s="5">
        <v>8</v>
      </c>
      <c r="B9" s="6" t="s">
        <v>11</v>
      </c>
      <c r="C9" s="7" t="s">
        <v>38</v>
      </c>
    </row>
    <row r="10" spans="1:3">
      <c r="A10" s="5">
        <v>9</v>
      </c>
      <c r="B10" s="6" t="s">
        <v>35</v>
      </c>
      <c r="C10" s="7" t="s">
        <v>40</v>
      </c>
    </row>
    <row r="11" spans="1:3">
      <c r="A11" s="5">
        <v>10</v>
      </c>
      <c r="B11" s="6" t="s">
        <v>12</v>
      </c>
      <c r="C11" s="7" t="s">
        <v>37</v>
      </c>
    </row>
    <row r="12" spans="1:3">
      <c r="A12" s="5">
        <v>11</v>
      </c>
      <c r="B12" s="6" t="s">
        <v>13</v>
      </c>
      <c r="C12" s="7" t="s">
        <v>38</v>
      </c>
    </row>
    <row r="13" spans="1:3">
      <c r="A13" s="5">
        <v>12</v>
      </c>
      <c r="B13" s="9" t="s">
        <v>41</v>
      </c>
      <c r="C13" s="7" t="s">
        <v>39</v>
      </c>
    </row>
    <row r="14" spans="1:3">
      <c r="A14" s="5">
        <v>13</v>
      </c>
      <c r="B14" s="6" t="s">
        <v>14</v>
      </c>
      <c r="C14" s="7" t="s">
        <v>38</v>
      </c>
    </row>
    <row r="15" spans="1:3">
      <c r="A15" s="5">
        <v>14</v>
      </c>
      <c r="B15" s="6" t="s">
        <v>15</v>
      </c>
      <c r="C15" s="7" t="s">
        <v>37</v>
      </c>
    </row>
    <row r="16" spans="1:3">
      <c r="A16" s="5">
        <v>15</v>
      </c>
      <c r="B16" s="6" t="s">
        <v>16</v>
      </c>
      <c r="C16" s="7" t="s">
        <v>39</v>
      </c>
    </row>
    <row r="17" spans="1:3">
      <c r="A17" s="5">
        <v>16</v>
      </c>
      <c r="B17" s="6" t="s">
        <v>33</v>
      </c>
      <c r="C17" s="7" t="s">
        <v>37</v>
      </c>
    </row>
    <row r="18" spans="1:3">
      <c r="A18" s="5">
        <v>17</v>
      </c>
      <c r="B18" s="6" t="s">
        <v>17</v>
      </c>
      <c r="C18" s="7" t="s">
        <v>37</v>
      </c>
    </row>
    <row r="19" spans="1:3">
      <c r="A19" s="5">
        <v>18</v>
      </c>
      <c r="B19" s="6" t="s">
        <v>18</v>
      </c>
      <c r="C19" s="7" t="s">
        <v>37</v>
      </c>
    </row>
    <row r="20" spans="1:3">
      <c r="A20" s="5">
        <v>19</v>
      </c>
      <c r="B20" s="6" t="s">
        <v>19</v>
      </c>
      <c r="C20" s="7" t="s">
        <v>38</v>
      </c>
    </row>
    <row r="21" spans="1:3">
      <c r="A21" s="5">
        <v>20</v>
      </c>
      <c r="B21" s="6" t="s">
        <v>20</v>
      </c>
      <c r="C21" s="7" t="s">
        <v>37</v>
      </c>
    </row>
    <row r="22" spans="1:3">
      <c r="A22" s="5">
        <v>21</v>
      </c>
      <c r="B22" s="6" t="s">
        <v>21</v>
      </c>
      <c r="C22" s="7" t="s">
        <v>40</v>
      </c>
    </row>
    <row r="23" spans="1:3">
      <c r="A23" s="5">
        <v>22</v>
      </c>
      <c r="B23" s="6" t="s">
        <v>22</v>
      </c>
      <c r="C23" s="7" t="s">
        <v>39</v>
      </c>
    </row>
    <row r="24" spans="1:3">
      <c r="A24" s="5">
        <v>23</v>
      </c>
      <c r="B24" s="17" t="s">
        <v>44</v>
      </c>
      <c r="C24" s="7" t="s">
        <v>37</v>
      </c>
    </row>
    <row r="25" spans="1:3">
      <c r="A25" s="5">
        <v>24</v>
      </c>
      <c r="B25" s="6" t="s">
        <v>23</v>
      </c>
      <c r="C25" s="7" t="s">
        <v>39</v>
      </c>
    </row>
    <row r="26" spans="1:3">
      <c r="A26" s="5">
        <v>25</v>
      </c>
      <c r="B26" s="6" t="s">
        <v>24</v>
      </c>
      <c r="C26" s="7" t="s">
        <v>37</v>
      </c>
    </row>
    <row r="27" spans="1:3">
      <c r="A27" s="5">
        <v>26</v>
      </c>
      <c r="B27" s="6" t="s">
        <v>25</v>
      </c>
      <c r="C27" s="7" t="s">
        <v>39</v>
      </c>
    </row>
    <row r="28" spans="1:3">
      <c r="A28" s="5">
        <v>27</v>
      </c>
      <c r="B28" s="6" t="s">
        <v>26</v>
      </c>
      <c r="C28" s="7" t="s">
        <v>37</v>
      </c>
    </row>
    <row r="29" spans="1:3">
      <c r="A29" s="5">
        <v>28</v>
      </c>
      <c r="B29" s="6" t="s">
        <v>27</v>
      </c>
      <c r="C29" s="7" t="s">
        <v>37</v>
      </c>
    </row>
    <row r="30" spans="1:3">
      <c r="A30" s="5">
        <v>29</v>
      </c>
      <c r="B30" s="6" t="s">
        <v>28</v>
      </c>
      <c r="C30" s="7" t="s">
        <v>39</v>
      </c>
    </row>
    <row r="31" spans="1:3">
      <c r="A31" s="5">
        <v>30</v>
      </c>
      <c r="B31" s="6" t="s">
        <v>29</v>
      </c>
      <c r="C31" s="7" t="s">
        <v>37</v>
      </c>
    </row>
    <row r="32" spans="1:3">
      <c r="A32" s="5">
        <v>31</v>
      </c>
      <c r="B32" s="6" t="s">
        <v>30</v>
      </c>
      <c r="C32" s="7" t="s">
        <v>38</v>
      </c>
    </row>
    <row r="33" spans="1:3">
      <c r="A33" s="5">
        <v>32</v>
      </c>
      <c r="B33" s="17" t="s">
        <v>31</v>
      </c>
      <c r="C33" s="7" t="s">
        <v>38</v>
      </c>
    </row>
    <row r="34" spans="1:3">
      <c r="A34" s="5">
        <v>33</v>
      </c>
      <c r="B34" s="8" t="s">
        <v>32</v>
      </c>
      <c r="C34" s="7" t="s">
        <v>38</v>
      </c>
    </row>
  </sheetData>
  <sortState xmlns:xlrd2="http://schemas.microsoft.com/office/spreadsheetml/2017/richdata2" ref="B2:C35">
    <sortCondition ref="B2:B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Tabel benef + apartinatori</vt:lpstr>
      <vt:lpstr>Grade de dependenta</vt:lpstr>
      <vt:lpstr>'Tabel benef + apartinatori'!_Hlk203734156</vt:lpstr>
      <vt:lpstr>'Tabel benef + apartinatori'!_Hlk219736196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Beniamin Caraulasu</dc:creator>
  <cp:lastModifiedBy>Pc</cp:lastModifiedBy>
  <cp:lastPrinted>2026-07-03T17:38:47Z</cp:lastPrinted>
  <dcterms:created xsi:type="dcterms:W3CDTF">2024-06-10T19:29:00Z</dcterms:created>
  <dcterms:modified xsi:type="dcterms:W3CDTF">2026-07-24T16:48:20Z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B3E6F54C15C3402ABAB445B034CE32D9_12</vt:lpwstr>
  </property>
  <property fmtid="{D5CDD505-2E9C-101B-9397-08002B2CF9AE}" pid="3" name="KSOProductBuildVer">
    <vt:lpwstr>1033-12.2.0.17545</vt:lpwstr>
  </property>
</Properties>
</file>