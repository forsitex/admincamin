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CĂMINE 2026\BRAGADIRU\"/>
    </mc:Choice>
  </mc:AlternateContent>
  <xr:revisionPtr revIDLastSave="0" documentId="13_ncr:1_{360DD638-4D73-4C72-AF3D-27BBAE601D97}" xr6:coauthVersionLast="47" xr6:coauthVersionMax="47" xr10:uidLastSave="{00000000-0000-0000-0000-000000000000}"/>
  <bookViews>
    <workbookView xWindow="-108" yWindow="-108" windowWidth="23256" windowHeight="12576" tabRatio="559" xr2:uid="{00000000-000D-0000-FFFF-FFFF00000000}"/>
  </bookViews>
  <sheets>
    <sheet name="Tabel benef + apartinatori" sheetId="1" r:id="rId1"/>
  </sheets>
  <definedNames>
    <definedName name="_Hlk191451774" localSheetId="0">'Tabel benef + apartinatori'!#REF!</definedName>
    <definedName name="_Hlk191997943" localSheetId="0">'Tabel benef + apartinatori'!#REF!</definedName>
    <definedName name="_Hlk191998082" localSheetId="0">'Tabel benef + apartinatori'!#REF!</definedName>
    <definedName name="_Hlk194741660" localSheetId="0">'Tabel benef + apartinatori'!$K$14</definedName>
    <definedName name="_Hlk197010976" localSheetId="0">'Tabel benef + apartinatori'!#REF!</definedName>
    <definedName name="_Hlk197843052" localSheetId="0">'Tabel benef + apartinatori'!#REF!</definedName>
    <definedName name="_Hlk198743197" localSheetId="0">'Tabel benef + apartinatori'!#REF!</definedName>
    <definedName name="_Hlk199267302" localSheetId="0">'Tabel benef + apartinatori'!#REF!</definedName>
    <definedName name="_Hlk199600504" localSheetId="0">'Tabel benef + apartinatori'!#REF!</definedName>
    <definedName name="_Hlk202005485" localSheetId="0">'Tabel benef + apartinatori'!$B$12</definedName>
    <definedName name="_Hlk205893316" localSheetId="0">'Tabel benef + apartinatori'!#REF!</definedName>
    <definedName name="_Hlk206859573" localSheetId="0">'Tabel benef + apartinatori'!$B$59</definedName>
    <definedName name="_Hlk209807832" localSheetId="0">'Tabel benef + apartinatori'!#REF!</definedName>
    <definedName name="_Hlk210197987" localSheetId="0">'Tabel benef + apartinatori'!$N$16</definedName>
    <definedName name="_Hlk210467940" localSheetId="0">'Tabel benef + apartinatori'!$B$64</definedName>
    <definedName name="_Hlk211440055" localSheetId="0">'Tabel benef + apartinatori'!$B$15</definedName>
    <definedName name="_Hlk212056727" localSheetId="0">'Tabel benef + apartinatori'!$B$46</definedName>
    <definedName name="_Hlk214453830" localSheetId="0">'Tabel benef + apartinatori'!$B$18</definedName>
  </definedNames>
  <calcPr calcId="191029"/>
</workbook>
</file>

<file path=xl/calcChain.xml><?xml version="1.0" encoding="utf-8"?>
<calcChain xmlns="http://schemas.openxmlformats.org/spreadsheetml/2006/main">
  <c r="F21" i="1" l="1"/>
  <c r="E21" i="1"/>
  <c r="E25" i="1"/>
  <c r="F25" i="1"/>
  <c r="E19" i="1"/>
  <c r="F19" i="1"/>
  <c r="E14" i="1"/>
  <c r="F14" i="1"/>
  <c r="E33" i="1"/>
  <c r="F33" i="1"/>
  <c r="E68" i="1"/>
  <c r="F68" i="1"/>
  <c r="E23" i="1"/>
  <c r="F23" i="1"/>
  <c r="E67" i="1"/>
  <c r="F67" i="1"/>
  <c r="E34" i="1"/>
  <c r="F34" i="1"/>
  <c r="E9" i="1"/>
  <c r="F9" i="1"/>
  <c r="E8" i="1"/>
  <c r="F8" i="1"/>
  <c r="E66" i="1"/>
  <c r="F66" i="1"/>
  <c r="E61" i="1"/>
  <c r="F61" i="1"/>
  <c r="E4" i="1"/>
  <c r="F4" i="1"/>
  <c r="F58" i="1"/>
  <c r="E58" i="1"/>
  <c r="E30" i="1"/>
  <c r="F30" i="1"/>
  <c r="E29" i="1"/>
  <c r="F29" i="1"/>
  <c r="E57" i="1"/>
  <c r="F57" i="1"/>
  <c r="F52" i="1"/>
  <c r="E52" i="1"/>
  <c r="F51" i="1"/>
  <c r="E51" i="1"/>
  <c r="E13" i="1" l="1"/>
  <c r="F13" i="1"/>
  <c r="E62" i="1"/>
  <c r="F62" i="1"/>
  <c r="E56" i="1"/>
  <c r="F56" i="1"/>
  <c r="F50" i="1"/>
  <c r="E50" i="1"/>
  <c r="F35" i="1"/>
  <c r="F36" i="1"/>
  <c r="F37" i="1"/>
  <c r="F54" i="1"/>
  <c r="E35" i="1"/>
  <c r="E36" i="1"/>
  <c r="E37" i="1"/>
  <c r="E54" i="1"/>
  <c r="E63" i="1"/>
  <c r="F63" i="1"/>
  <c r="E55" i="1"/>
  <c r="F55" i="1"/>
  <c r="F46" i="1"/>
  <c r="E46" i="1"/>
  <c r="E28" i="1"/>
  <c r="F28" i="1"/>
  <c r="E3" i="1"/>
  <c r="F3" i="1"/>
  <c r="E10" i="1"/>
  <c r="F10" i="1"/>
  <c r="E49" i="1"/>
  <c r="F49" i="1"/>
  <c r="E11" i="1"/>
  <c r="F11" i="1"/>
  <c r="E48" i="1"/>
  <c r="F48" i="1"/>
  <c r="E47" i="1"/>
  <c r="F47" i="1"/>
  <c r="F40" i="1"/>
  <c r="E40" i="1"/>
  <c r="F26" i="1"/>
  <c r="E26" i="1"/>
  <c r="F32" i="1"/>
  <c r="E32" i="1"/>
  <c r="F31" i="1"/>
  <c r="E31" i="1"/>
  <c r="F27" i="1"/>
  <c r="E27" i="1"/>
  <c r="F24" i="1"/>
  <c r="E24" i="1"/>
  <c r="F65" i="1"/>
  <c r="E65" i="1"/>
  <c r="F22" i="1"/>
  <c r="E22" i="1"/>
  <c r="F20" i="1"/>
  <c r="E20" i="1"/>
  <c r="F18" i="1"/>
  <c r="E18" i="1"/>
  <c r="F59" i="1"/>
  <c r="E59" i="1"/>
  <c r="F53" i="1"/>
  <c r="E53" i="1"/>
  <c r="F64" i="1"/>
  <c r="E64" i="1"/>
  <c r="F16" i="1"/>
  <c r="E16" i="1"/>
  <c r="E69" i="1"/>
  <c r="F69" i="1"/>
  <c r="E5" i="1"/>
  <c r="F5" i="1"/>
  <c r="E12" i="1"/>
  <c r="F12" i="1"/>
  <c r="F7" i="1" l="1"/>
  <c r="E7" i="1"/>
  <c r="F6" i="1" l="1"/>
  <c r="E6" i="1"/>
</calcChain>
</file>

<file path=xl/sharedStrings.xml><?xml version="1.0" encoding="utf-8"?>
<sst xmlns="http://schemas.openxmlformats.org/spreadsheetml/2006/main" count="723" uniqueCount="540">
  <si>
    <t>Nume si prenume</t>
  </si>
  <si>
    <t>CNP</t>
  </si>
  <si>
    <t>Varsta</t>
  </si>
  <si>
    <t>Zi nastere</t>
  </si>
  <si>
    <t>adresa</t>
  </si>
  <si>
    <t>0722253824</t>
  </si>
  <si>
    <t>0770412901</t>
  </si>
  <si>
    <t>0726392993</t>
  </si>
  <si>
    <t>0722430769</t>
  </si>
  <si>
    <t>0723728203</t>
  </si>
  <si>
    <t>0724666680</t>
  </si>
  <si>
    <t>0727722251</t>
  </si>
  <si>
    <t>0787457858</t>
  </si>
  <si>
    <t>0760374269</t>
  </si>
  <si>
    <t>RD nr. 908334</t>
  </si>
  <si>
    <t>RX nr. 864691</t>
  </si>
  <si>
    <t>BD nr. 680053</t>
  </si>
  <si>
    <t>GG nr. 597834</t>
  </si>
  <si>
    <t>RT nr. 240875</t>
  </si>
  <si>
    <t>PE ROU nr. 060348971</t>
  </si>
  <si>
    <t>RT nr. 696507</t>
  </si>
  <si>
    <t>RK nr. 473511</t>
  </si>
  <si>
    <t>RT nr. 644846</t>
  </si>
  <si>
    <t>RX nr. 913407</t>
  </si>
  <si>
    <t>IF nr. 793061</t>
  </si>
  <si>
    <t>IF nr. 445654</t>
  </si>
  <si>
    <t>BK nr. 614066</t>
  </si>
  <si>
    <t>RK nr. 162103</t>
  </si>
  <si>
    <t>IF nr. 470457</t>
  </si>
  <si>
    <t>XR nr. 318289</t>
  </si>
  <si>
    <t>RX nr. 429657</t>
  </si>
  <si>
    <t>BU nr. 150376</t>
  </si>
  <si>
    <t>Canada, Manitoba, Winnipeg,  str. 279 DE LA SEIGNEURIE BLVD</t>
  </si>
  <si>
    <t>Serie si nr. CI</t>
  </si>
  <si>
    <t>nr. Telefon</t>
  </si>
  <si>
    <t>București sect. 4, str. Păltinișului, nr. 27</t>
  </si>
  <si>
    <t>București, sect. 4, str.. Odei, nr. 4</t>
  </si>
  <si>
    <t>București, sect. 4, str. Moldovița, nr. 15A</t>
  </si>
  <si>
    <t>București, sect. 2, șos. Pantelimon, nr. 233, bloc. 68, sc B, et 6, ap 64</t>
  </si>
  <si>
    <t>București, sect. 4, Bd Unirii, nr. 3, bloc. 1A, sc 1, et 7, ap 28</t>
  </si>
  <si>
    <t>București, sect. 6, str. Ale. Pașcani, nr. 10, bloc. MIIB 8/7, sc A, et. 2, ap 11</t>
  </si>
  <si>
    <t>București, sect. 4, str. Voila, nr. 3, bloc. 59, sc 4, et. 4</t>
  </si>
  <si>
    <t>București, sect. 6, str. Drumul Taberei, nr. 66, bloc. OS6, sc. 3, et. 4, ap 98</t>
  </si>
  <si>
    <t>IF nr. 951274</t>
  </si>
  <si>
    <t>București, sect. 2, str. Brebu, nr. 1, bl. T9A, sc. A, et. 6, ap. 35</t>
  </si>
  <si>
    <t>IF nr. 141130</t>
  </si>
  <si>
    <t>EXTERNĂRI/DECESE</t>
  </si>
  <si>
    <t>0787288646</t>
  </si>
  <si>
    <t>RZ nr.044822</t>
  </si>
  <si>
    <t>IF nr.673633</t>
  </si>
  <si>
    <t>DATA EXTERNĂRII</t>
  </si>
  <si>
    <t>EXTERNAT/TRANSFERAT/DECEDAT</t>
  </si>
  <si>
    <t>EXTERNAT</t>
  </si>
  <si>
    <t>Data internare</t>
  </si>
  <si>
    <t>0726442336</t>
  </si>
  <si>
    <t>RK nr. 051655</t>
  </si>
  <si>
    <t>IF nr. 209367</t>
  </si>
  <si>
    <t>24.07.2024</t>
  </si>
  <si>
    <t>14.05.2024</t>
  </si>
  <si>
    <t>16.05.2024</t>
  </si>
  <si>
    <t>26.06.2024</t>
  </si>
  <si>
    <t>15.05.2024</t>
  </si>
  <si>
    <t>12.05.2024</t>
  </si>
  <si>
    <t>21.05.2024</t>
  </si>
  <si>
    <t>26.07.2024</t>
  </si>
  <si>
    <t>Ilfov, loc. Chiajna, sat Roșu, str. 1 Mai, nr. 5</t>
  </si>
  <si>
    <t>Ilfov, loc. Măgurele, str. Atomiștilor, nr. 94</t>
  </si>
  <si>
    <t>Ilfov, loc. Buftea, str. Studioului,  nr. 1, bloc. A5, sc A, et. 4, ap 20</t>
  </si>
  <si>
    <t>Brăila, loc. Brăila, str. Aleea Micșunelelor, nr. 6</t>
  </si>
  <si>
    <t>Giurgiu, loc. Roata de Jos</t>
  </si>
  <si>
    <t>Ilfov, sat. Dudu, Com. Chiajna, str. Apeductului, nr. 89A</t>
  </si>
  <si>
    <t>Ilfov, com Clinceni, str. Cireșica, nr. 75</t>
  </si>
  <si>
    <t>RR nr. 412044</t>
  </si>
  <si>
    <t>12.12.2024</t>
  </si>
  <si>
    <t>BUCUREȘTI, sector 3,  str. MIRCEA BĂDESCU, nr.29</t>
  </si>
  <si>
    <t>RT nr. 819986</t>
  </si>
  <si>
    <t>BUCUREȘTI, sector 3, str. VLAD JUDEȚUL, nr. 2,  bl. V14A, sc. 1, ap. 9</t>
  </si>
  <si>
    <t>0727808848</t>
  </si>
  <si>
    <t>RD nr.494162</t>
  </si>
  <si>
    <t>02.01.2025</t>
  </si>
  <si>
    <t>BUCUREȘTI, sector 3, bdul 1 Dec.1918, nr.35, bl.L14, sc.4, et.7, ap.162</t>
  </si>
  <si>
    <t>RK nr.107113</t>
  </si>
  <si>
    <t>BUCUREȘTI, str. Moldovița, nr.9, bl.1, sc.6, et.2, ap.55</t>
  </si>
  <si>
    <t>Nr. Crt</t>
  </si>
  <si>
    <t>Număr contract</t>
  </si>
  <si>
    <t>Adresa</t>
  </si>
  <si>
    <t>Nr.crt.</t>
  </si>
  <si>
    <t>Nr. telefon</t>
  </si>
  <si>
    <t>BK nr.654474</t>
  </si>
  <si>
    <t>Județul Ialomița, Comuna Coșereni, str.Perilor, nr.16</t>
  </si>
  <si>
    <t>07.03.2025</t>
  </si>
  <si>
    <t>RK nr.602565</t>
  </si>
  <si>
    <t>Mun. București, Sector 6, Str. Vintilă Mihăilescu, nr.12, bl.79, sc.2, et.4, ap.80</t>
  </si>
  <si>
    <t>0767801187(fiica); 0799421247(nepot)</t>
  </si>
  <si>
    <t>Ilfov, Sat Clinceni (Com Clinceni) Str. Privighetorii nr. 37A</t>
  </si>
  <si>
    <t>IF nr. 640838</t>
  </si>
  <si>
    <t>01.04.2025</t>
  </si>
  <si>
    <t>IF nr. 553291</t>
  </si>
  <si>
    <t>0724068589</t>
  </si>
  <si>
    <t>05.04.2025</t>
  </si>
  <si>
    <t xml:space="preserve">IF nr. 226150 </t>
  </si>
  <si>
    <t>Ilfov, Oraș Bragadiru, Șos.Alexandrei nr.458 bl.P61 sc.2 ap.13</t>
  </si>
  <si>
    <t>IF nr. 909984</t>
  </si>
  <si>
    <t>0767851737</t>
  </si>
  <si>
    <t>DUMITRESCU MARIA</t>
  </si>
  <si>
    <t>CHABORSKI FLOAREA</t>
  </si>
  <si>
    <t>BUTNARU ALEXANDRINA</t>
  </si>
  <si>
    <t>SPĂTARU ANA</t>
  </si>
  <si>
    <t>NEGRU PETRA</t>
  </si>
  <si>
    <t>DB nr. 799661</t>
  </si>
  <si>
    <t>29.04.2025</t>
  </si>
  <si>
    <t>Ilfov, Comuna Măgurele, Str. Aluniș, nr.40</t>
  </si>
  <si>
    <t>NEGRU ȘTEFAN</t>
  </si>
  <si>
    <t>Ilfov, Sat. Alunișu (Orș. Bragadiru), Str. Aluniș, nr.40</t>
  </si>
  <si>
    <t>0742565784</t>
  </si>
  <si>
    <t>MOISE ELENA</t>
  </si>
  <si>
    <t>PARMAC VIȘA</t>
  </si>
  <si>
    <t>MĂRĂSCU DRĂGUȚA</t>
  </si>
  <si>
    <t>STOICESCU PAUL</t>
  </si>
  <si>
    <t>MISĂILĂ JANA</t>
  </si>
  <si>
    <t>MORARU GHEORGHE</t>
  </si>
  <si>
    <t>CORNICIUC TEODOR</t>
  </si>
  <si>
    <t>Argeș, Mun. Pitești, Bdul Frații Golești, nr.102, bl.S10, sc.C, ap.13</t>
  </si>
  <si>
    <t>AS nr. 800493</t>
  </si>
  <si>
    <t>01.05.2025</t>
  </si>
  <si>
    <t>SAMOILĂ RODICA-MONICA</t>
  </si>
  <si>
    <t>0786255010</t>
  </si>
  <si>
    <t>IF nr. 996856</t>
  </si>
  <si>
    <t>IF nr. 925471</t>
  </si>
  <si>
    <t>GÂRZ SILVIA</t>
  </si>
  <si>
    <t>CRÂNGAȘU ANCUȚA</t>
  </si>
  <si>
    <t>PĂUN ILINCA</t>
  </si>
  <si>
    <t>BRATU FLOAREA</t>
  </si>
  <si>
    <t>NOVAC MARIA</t>
  </si>
  <si>
    <t>MĂCEȘANU TUDORA</t>
  </si>
  <si>
    <t>TĂLPUȘ LUCIANA</t>
  </si>
  <si>
    <t xml:space="preserve">MĂGUREANU CAMELIA </t>
  </si>
  <si>
    <t>BUTNARU TIBERIU</t>
  </si>
  <si>
    <t>ULIERU NATAȘA</t>
  </si>
  <si>
    <t>SURDOAIA MARIA</t>
  </si>
  <si>
    <t>SÎRBU FLORENTINA</t>
  </si>
  <si>
    <t>MĂCEȘANU NADIA-ODETA</t>
  </si>
  <si>
    <t>MĂNTESCU CRISTINEL-RĂZVAN</t>
  </si>
  <si>
    <t>PETRE MARICELA</t>
  </si>
  <si>
    <t>TELCEANU LILIANA-NICOLETA</t>
  </si>
  <si>
    <t>MORARU MIRELA-ELENA</t>
  </si>
  <si>
    <t>NOVAC ALEXANDRU</t>
  </si>
  <si>
    <t>VOINESCU CAMELL-ADRIANA</t>
  </si>
  <si>
    <t>PĂUN NICOLAE</t>
  </si>
  <si>
    <t>AVRAMESCU MARCELA</t>
  </si>
  <si>
    <t>BARTIȘI DANIELA-CARMEN</t>
  </si>
  <si>
    <t>TĂLPUȘ TUDOR</t>
  </si>
  <si>
    <t>Teleorman, Comuna Botoroaga</t>
  </si>
  <si>
    <t>STRAT MARICICA</t>
  </si>
  <si>
    <t>RX nr. 867825</t>
  </si>
  <si>
    <t>0724495577; 0766330812</t>
  </si>
  <si>
    <t>IANCU GHERGHINA</t>
  </si>
  <si>
    <t>DB nr. 152080</t>
  </si>
  <si>
    <t>20.05.2025</t>
  </si>
  <si>
    <t>București, Sec.5, Șos. Sălaj, nr.133, bl. 5, sc.6, et.3, ap.91</t>
  </si>
  <si>
    <t>BRABETE SILA</t>
  </si>
  <si>
    <t>DA nr.625613</t>
  </si>
  <si>
    <t>22.05.2025</t>
  </si>
  <si>
    <t>București, Sector 6, Str. Drumul Taberei, nr.50, bl.GII 4, sc.1, et.8, ap.50</t>
  </si>
  <si>
    <t>OGĂRARU DOREL-CRISTIAN</t>
  </si>
  <si>
    <t>RK nr.019408</t>
  </si>
  <si>
    <t>București, Sector 5, Str. Zăvoianului, nr.2</t>
  </si>
  <si>
    <t>ASIGURAT/NEASIGURAT</t>
  </si>
  <si>
    <t>PAPUC ELENA</t>
  </si>
  <si>
    <t>0769030293(fiu); 0767148350(nora)</t>
  </si>
  <si>
    <t>București, Sector 5, Str. Ulmilor, nr.10</t>
  </si>
  <si>
    <t>RT nr. 224448</t>
  </si>
  <si>
    <t>12.06.2025</t>
  </si>
  <si>
    <t>PAPUC MARIAN</t>
  </si>
  <si>
    <t>RK nr. 122303</t>
  </si>
  <si>
    <t>MĂCELUICĂ CORNELIA</t>
  </si>
  <si>
    <t>București, Sector 1, Str. Carpați, nr.50-52, bl.B, sc.A, et.3, ap.16</t>
  </si>
  <si>
    <t>RX nr. 806994</t>
  </si>
  <si>
    <t>26.06.2025</t>
  </si>
  <si>
    <t>MĂCELUICĂ COSTEL-IULIAN</t>
  </si>
  <si>
    <t>RX nr. 947890</t>
  </si>
  <si>
    <t>Grad dependență</t>
  </si>
  <si>
    <t>CERTIFICAT HANDICAP</t>
  </si>
  <si>
    <t>TUTORE</t>
  </si>
  <si>
    <t>IIIA</t>
  </si>
  <si>
    <t>IIB</t>
  </si>
  <si>
    <t>IIA</t>
  </si>
  <si>
    <t>IIC</t>
  </si>
  <si>
    <t>IB</t>
  </si>
  <si>
    <t>Nr.6089/19.09.2024, grav cu asistent personal, permanent</t>
  </si>
  <si>
    <t>Nr.670/21.02.2023, grav cu asistent personal, permanent</t>
  </si>
  <si>
    <t>Nr.3125/21.12.2020, grav cu asistent personal, permanent, tip handicap 5, mental</t>
  </si>
  <si>
    <t>Nr.399/28.01.2025, grav cu asistent personal, permanent</t>
  </si>
  <si>
    <t> Nr.3161/02.09.2024, grav cu asistent personal, permanent</t>
  </si>
  <si>
    <t>Nr.1246/02.05.2023, grav cu asistent personal, permanent</t>
  </si>
  <si>
    <t>Nr.1451/29.04.2025, grav cu asistent personal, permanent</t>
  </si>
  <si>
    <t>Nr.1272/18.03.2024, grav cu asistent personal, permanent</t>
  </si>
  <si>
    <t>Ilfov, Sat. Dudu (Com. Chiajna), Str. Soarelui, nr.29, bl.1, et.6, ap.55</t>
  </si>
  <si>
    <t>RK nr. 318519</t>
  </si>
  <si>
    <t>RK. Nr. 915347</t>
  </si>
  <si>
    <t>GORICI FLORENTINA</t>
  </si>
  <si>
    <t>GORICI TRAIAN</t>
  </si>
  <si>
    <t>20.07.2025</t>
  </si>
  <si>
    <t>NICULESCU IORDACHE-GABRIEL</t>
  </si>
  <si>
    <t>RX nr.291430</t>
  </si>
  <si>
    <t>București, Sector 6, Drm. Tabere, nr.29, bl.F2, sc.E, et.4, ap.94</t>
  </si>
  <si>
    <t>18.08.2025</t>
  </si>
  <si>
    <t>NICULESCU ALEXANDRA-MARINA</t>
  </si>
  <si>
    <t>RX nr. 719737</t>
  </si>
  <si>
    <t>DUBINĂ IULIANA</t>
  </si>
  <si>
    <t>RK nr.317378</t>
  </si>
  <si>
    <t>17.09.2025</t>
  </si>
  <si>
    <t>DUBINĂ EVELINE-ELENA</t>
  </si>
  <si>
    <t>RZ nr.368290</t>
  </si>
  <si>
    <t>DUMITRESCU TUDOR-GABREL</t>
  </si>
  <si>
    <t>09.10.2025</t>
  </si>
  <si>
    <t>MOCANU IULIANA</t>
  </si>
  <si>
    <t>ZL nr. 268463</t>
  </si>
  <si>
    <t>Galați, Mun. Galați, Str. Brândușei, nr.4, bl.B8, sc.2, et.4, ap.38</t>
  </si>
  <si>
    <t>MOCANU PETRONELA-ANDREEA</t>
  </si>
  <si>
    <t>IF nr. 662528</t>
  </si>
  <si>
    <t>Ilfov, Sat. Dudu(Comuna Chiajna), Str. Tineretului, nr.85</t>
  </si>
  <si>
    <t>0757900892; 0747444229</t>
  </si>
  <si>
    <t>TINERI</t>
  </si>
  <si>
    <t>COSTACHE FLORICA</t>
  </si>
  <si>
    <t>RX nr.550191</t>
  </si>
  <si>
    <t>16.10.2025</t>
  </si>
  <si>
    <t>București, sector 6, Prl. Ghencea, nr.20, bl.TS10, sc.1, et.3, ap.22</t>
  </si>
  <si>
    <t>BUGA-MORARU NICOLAE</t>
  </si>
  <si>
    <t xml:space="preserve">RZ nr.196243 </t>
  </si>
  <si>
    <t>București, Sector 5, Str.Sg.maj.Ion Nedeleanu, nr.13, bl.V22, sc.1, et.2, ap.7</t>
  </si>
  <si>
    <t>0723306526</t>
  </si>
  <si>
    <t>STATE GHEORGHIȚA</t>
  </si>
  <si>
    <t>RR nr.974627</t>
  </si>
  <si>
    <t>15.10.2025</t>
  </si>
  <si>
    <t>București, Sector 6, Bld. Iuliu Maniu, nr.22, bl. 15C, sc.A, et.12, ap.67</t>
  </si>
  <si>
    <t>CRAIFOLEANU ANGELICA</t>
  </si>
  <si>
    <t>XF nr.003556</t>
  </si>
  <si>
    <t>Ilfov, Sat. Dudu (Com. Chiajna), Str. Rezervelor, nr.54, bl.7, ap.21</t>
  </si>
  <si>
    <t>CRAIFOLEANU ANDREI</t>
  </si>
  <si>
    <t>GD nr.0574126</t>
  </si>
  <si>
    <t>București, Sector 6, Str. Drumul Timonierului, nr.6, bl. 111B, sc.B, et.9, ap.82</t>
  </si>
  <si>
    <t>0761679899</t>
  </si>
  <si>
    <t>HERȚEGOVICI VALERIA</t>
  </si>
  <si>
    <t>RD nr.093232</t>
  </si>
  <si>
    <t>București, Sector 3, Strada Sold. Ion Tudor, nr.1, bl.8, sc.1, et.2, ap.20</t>
  </si>
  <si>
    <t>FRĂSINEANU IOAN</t>
  </si>
  <si>
    <t>RR nr.871365</t>
  </si>
  <si>
    <t>București, Sector 2, Str.Olari, nr.38, et.1, ap.2</t>
  </si>
  <si>
    <t>0722876863</t>
  </si>
  <si>
    <t>AGIU CONSTANTINA</t>
  </si>
  <si>
    <t>KL nr.714785</t>
  </si>
  <si>
    <t>13.10.2025</t>
  </si>
  <si>
    <t>Călărași, Sat. Modelu (Com. Modelu), Str. Moviliță, nr.88A</t>
  </si>
  <si>
    <t>CRĂCIUNESCU  GEORGETA</t>
  </si>
  <si>
    <t xml:space="preserve">KL nr.670647 </t>
  </si>
  <si>
    <t>073313219</t>
  </si>
  <si>
    <t>EFTIMIE MIHAI</t>
  </si>
  <si>
    <t>RD nr.806106</t>
  </si>
  <si>
    <t>22.10.2025</t>
  </si>
  <si>
    <t>București, Sector 6, Str. Cap.Petre Mișcă, nr.5, bl. M18, sc.1, et.1, ap.9</t>
  </si>
  <si>
    <t>BULACU ALINA-DIANA-GABRIELA</t>
  </si>
  <si>
    <t>RZ nr.114909</t>
  </si>
  <si>
    <t>0790961628</t>
  </si>
  <si>
    <t> Nr.36903/10.09.2025, grav cu asistent personal, permanent</t>
  </si>
  <si>
    <t>BLADA ELVIRA</t>
  </si>
  <si>
    <t>RX nr.055646</t>
  </si>
  <si>
    <t>03.11.2025</t>
  </si>
  <si>
    <t>MARIN GHEORGHE</t>
  </si>
  <si>
    <t>IF nr.631434</t>
  </si>
  <si>
    <t>Ilfov, Sat Crețuleasa, Str.Piersicului, nr.43</t>
  </si>
  <si>
    <t>0744650982</t>
  </si>
  <si>
    <t>București, Sector 5,  Str. Vedea, nr.6, bl.86AB, sc. A, et.3, ap.16</t>
  </si>
  <si>
    <t>București, Sector 1, Str. Victor Eftimiu, nr.5-7, et.7, ap.45</t>
  </si>
  <si>
    <t>Călărași, Sat. Modelu (Com. Modelu), Str. Moviliță, nr.88B</t>
  </si>
  <si>
    <t>ASISTENȚĂ SOCIALĂ</t>
  </si>
  <si>
    <t>registratura@dgaspc-sectorul1.ro; prestatii.dezabilitatii@dgaspc-sectorul1.ro, Bdul. Mareșal Averescu nr.17, Sector 1, București, 0212234197</t>
  </si>
  <si>
    <t>office@dgaspc6.com, Aleea Istru 4B, București 061912, 0316 208 017</t>
  </si>
  <si>
    <t>asistentasociala@primariaorasbragadiru.ro, oraș Bragadiru, șos. Alexandriei, nr.249, județ Ilfov, 214480795</t>
  </si>
  <si>
    <t>office@dgaspc3.ro, Adresa: Strada Parfumului, nr. 2-4, Sector 3, 0372126100;   0213410713</t>
  </si>
  <si>
    <t>primariacosereni@yahoo.com, comuna Coșereni, str. București, nr.130, Jud. Ialomița, 243318006</t>
  </si>
  <si>
    <t>office@dgaspc5.ro, Str. Fabrica de Chibrituri nr. 9-11, sector 5, 21310</t>
  </si>
  <si>
    <t>contact@dgaspc4.ro, Bucuresti, Sector 4, B-dul Metalurgiei, Nr. 12-18, 0372 756 313</t>
  </si>
  <si>
    <t>registratura@primariachiajna.ro, Str. Speranței, nr. 1bis, satul Dudu, comuna Chiajna, județul Ilfov, 214361122</t>
  </si>
  <si>
    <t>office@primariamagurele.ro, Str. Călugareni, Nr. 2 – 4, Măgurele,Ilfov, (021) 457-4098</t>
  </si>
  <si>
    <t>registratura@dasbraila.ro; secretariat@dasbraila.ro, Brăila, strada Școlilor, nr.64, 239629322</t>
  </si>
  <si>
    <t>cl_roatadejos@yahoo.com;contact@primariaroatadejos.ro, Strada Republicii, nr. 65, Comuna Roata de Jos, Județul Giurgiu, 246266115</t>
  </si>
  <si>
    <t>social@social2.ro, Str. Olari nr. 15, 021252.22.02</t>
  </si>
  <si>
    <t>primariaclinceni@yahoo.com, Clinceni, str.Principală, nr.107A, 786099925</t>
  </si>
  <si>
    <t>sesizari@primariagalati.ro, str. Domnească, nr. 54, 800258, Județ: Galati, Romania, 236307775</t>
  </si>
  <si>
    <t>DINU FLORIN-VICTOR</t>
  </si>
  <si>
    <t>RZ nr.513481</t>
  </si>
  <si>
    <t>19.11.2025</t>
  </si>
  <si>
    <t>București, Sector 5, Str. Abatajului, nr.2B</t>
  </si>
  <si>
    <t>DINU DANIELA-IULIANA</t>
  </si>
  <si>
    <t>RZ nr.288590</t>
  </si>
  <si>
    <t>IIIB</t>
  </si>
  <si>
    <t>Ilfov, Oraș Bragadiru, str. Bujorului, nr. 6, bl. Vila A6, sc. 2, et. 1, ap. 4</t>
  </si>
  <si>
    <t>Nr.5315/11.07.2025, grav cu asistent personal, 2 ani</t>
  </si>
  <si>
    <t>724680860; 0724675960 (sotie)</t>
  </si>
  <si>
    <t>NU ARE</t>
  </si>
  <si>
    <t>Nr.1683/02.06.2025, grav cu asistent personal, permanent</t>
  </si>
  <si>
    <t>Nr. 1380/13.03.2025, grav cu asistent personal, permanent</t>
  </si>
  <si>
    <t>Nr.2870/14.11.2023, grav cu asistent personal, permanent</t>
  </si>
  <si>
    <t>OILĂ NICOLETA</t>
  </si>
  <si>
    <t>TR nr. 404735</t>
  </si>
  <si>
    <t xml:space="preserve">Teleorman, Mun. Roșiori de Vede, Str. Renașterii, bl.R9, sc.A, et.1, ap.5 </t>
  </si>
  <si>
    <t>OILĂ GINA</t>
  </si>
  <si>
    <t>TR nr. 702235</t>
  </si>
  <si>
    <t>Teleorman, Mun. Roșiori de Vede, Str. Renașterii, bl.R9, sc.A, et.1, ap.5</t>
  </si>
  <si>
    <t>0723592302</t>
  </si>
  <si>
    <t>asistenta.sociala@primariarosioriidevede.ro, Teleorman, Roșiorii de Vede, Str. Sfântul Teodor, nr.37D, 240513641</t>
  </si>
  <si>
    <t>21.12.2025</t>
  </si>
  <si>
    <t>08.01.2026</t>
  </si>
  <si>
    <t>DECEDAT SPITAL MUNICIPAL</t>
  </si>
  <si>
    <t> Nr.1634/17.04.2025, grav cu asistent personal, permanent</t>
  </si>
  <si>
    <t>13.01.2026</t>
  </si>
  <si>
    <t>15.01.2026</t>
  </si>
  <si>
    <t>PETRESCU VIORICA</t>
  </si>
  <si>
    <t>RK nr. 772547</t>
  </si>
  <si>
    <t>20.01.2026</t>
  </si>
  <si>
    <t>București, Sector 4, Str. Uioara, nr.13, bl. A11, sc. D, ap.38</t>
  </si>
  <si>
    <t>PETRESCU REMUS-SERGIU</t>
  </si>
  <si>
    <t>MB1030426</t>
  </si>
  <si>
    <t>București, Sector 6, Str. Sibiu, nr.4, bl.OD2, sc.3, ap.90</t>
  </si>
  <si>
    <t>0749050423</t>
  </si>
  <si>
    <t>BOSNEAGĂ GEORGETA</t>
  </si>
  <si>
    <t>DD nr.491960</t>
  </si>
  <si>
    <t>23.01.2026</t>
  </si>
  <si>
    <t>BARBU IONELA-ANCUȚA</t>
  </si>
  <si>
    <t>XF nr.019170</t>
  </si>
  <si>
    <t>Sat.Chiajna(Com.Chiajna), Jud.Ilfov, Str. Sergent Ilie Petre, nr.88, bl.4, sc.1, ap.33</t>
  </si>
  <si>
    <t>0731430369</t>
  </si>
  <si>
    <t xml:space="preserve">BRĂDEANU NICOLAE </t>
  </si>
  <si>
    <t>RD nr512373</t>
  </si>
  <si>
    <r>
      <t>Mun.București, Sec.3, Bld.Râmnicu Sărat</t>
    </r>
    <r>
      <rPr>
        <sz val="9"/>
        <color theme="1"/>
        <rFont val="Cambria"/>
        <family val="1"/>
      </rPr>
      <t>, nr.15, bl.20F,sc.3, ap.90</t>
    </r>
  </si>
  <si>
    <t>POPA CONSTANTIN</t>
  </si>
  <si>
    <t xml:space="preserve">RT nr.506316 </t>
  </si>
  <si>
    <r>
      <t xml:space="preserve">Mun.București, Sec.4, </t>
    </r>
    <r>
      <rPr>
        <sz val="9"/>
        <color theme="1"/>
        <rFont val="Cambria"/>
        <family val="1"/>
      </rPr>
      <t>Ale.Mirea Mioara Luiza, nr.1</t>
    </r>
    <r>
      <rPr>
        <sz val="9"/>
        <color theme="1"/>
        <rFont val="Georgia"/>
        <family val="1"/>
      </rPr>
      <t>, bl.N22, sc.3, et.1, ap.36</t>
    </r>
  </si>
  <si>
    <t>Jud.Dâmovița, Mun. Târgoviște, Str. Duiliu Zamfirescu, nr.6, bl.14, sc.A, ap.1</t>
  </si>
  <si>
    <t>26.01.2026</t>
  </si>
  <si>
    <t>CUTIERU IVAN</t>
  </si>
  <si>
    <t>TR nr. 583740</t>
  </si>
  <si>
    <t>02.02.2026</t>
  </si>
  <si>
    <t>Teleorman, Sat.Broșteanca, Com.Bogdana</t>
  </si>
  <si>
    <t>CUTIERU MARIN</t>
  </si>
  <si>
    <t xml:space="preserve">RT nr.924620 </t>
  </si>
  <si>
    <t>București, Sec.1, Str. Siriului, nr.7, bl. 16F, sc.2, ap.21</t>
  </si>
  <si>
    <t>0728233340</t>
  </si>
  <si>
    <t>primariabogdana@yahoo.co.uk, Teleorman, comuna Bogdana, 0247329013</t>
  </si>
  <si>
    <t>30.01.2026</t>
  </si>
  <si>
    <t>TRANSFERAT ORHIDEELOR</t>
  </si>
  <si>
    <t>PATUCSI ILEANA</t>
  </si>
  <si>
    <t>MX nr. 598755</t>
  </si>
  <si>
    <t>06.02.2026</t>
  </si>
  <si>
    <t>Jud.Iași,Orș.Hîrlău,  Str. Dealul Viilor, nr.1</t>
  </si>
  <si>
    <t>MORARU CONSTANTIN-FLORIN</t>
  </si>
  <si>
    <t>RZ nr.131249</t>
  </si>
  <si>
    <t>Mun.București, Sector 5, Str. Șoseaua Sălaj, nr.347, sc.2, et.1, ap.45</t>
  </si>
  <si>
    <t>0743038420</t>
  </si>
  <si>
    <t>POPESCU FLOAREA</t>
  </si>
  <si>
    <t>RD nr. 601257</t>
  </si>
  <si>
    <t>05.02.2026</t>
  </si>
  <si>
    <t>București, Sector 3, Str. Dristorului, nr.97-119, bl.63, sc.2, et.2, ap.76</t>
  </si>
  <si>
    <t>CRĂCIUN ADRIAN-IONUȚ</t>
  </si>
  <si>
    <t>RK nr.081539</t>
  </si>
  <si>
    <t>București, Sector 6, Str. Valea Călugărească, nr.9, bl.Z4, sc.1, et.8, ap.54</t>
  </si>
  <si>
    <t>0763501102</t>
  </si>
  <si>
    <t>16.02.2026</t>
  </si>
  <si>
    <t>DECES</t>
  </si>
  <si>
    <t>MILITARU AURICA</t>
  </si>
  <si>
    <t>BZ nr. 793503</t>
  </si>
  <si>
    <t>București, Sector 3,  B-dul. 1 Decembrie 1918, nr.38, bl.U4, sc.1, et.3, ap.11</t>
  </si>
  <si>
    <t>București, sector 6, Ale. Câmpul cu Flori nr. 3A, bl. M49A, sc. 2, ap. 58</t>
  </si>
  <si>
    <t>COJOCARIU MARILENA</t>
  </si>
  <si>
    <t>RX nr. 938706</t>
  </si>
  <si>
    <t>0720432242</t>
  </si>
  <si>
    <t>17.02.2026</t>
  </si>
  <si>
    <t>DECES SUUB - ORA 20.33</t>
  </si>
  <si>
    <t>Nr.293/27.01.2026, grav cu asistent personal, permanent</t>
  </si>
  <si>
    <t>GEORGESCU ECATERINA</t>
  </si>
  <si>
    <t>RT nr.828126</t>
  </si>
  <si>
    <t>19.02.2026</t>
  </si>
  <si>
    <t>București, Sector 6, Dr. Taberei, nr.40, sc. 1, et.6, ap.75</t>
  </si>
  <si>
    <t>PETRESCU LIVIU-ADRIAN</t>
  </si>
  <si>
    <t>RK nr.873756</t>
  </si>
  <si>
    <t>București, Sector 6, Str.Cetatea Histria, nr.8, bl.A3, sc.D, et.4, ap.60</t>
  </si>
  <si>
    <t>0722207188; 0754226227</t>
  </si>
  <si>
    <t>PALANGĂ FLOREA</t>
  </si>
  <si>
    <t>RR nr. 822198</t>
  </si>
  <si>
    <t>22.02.2026</t>
  </si>
  <si>
    <t>București, Sector 2, Str. Elev Ștefan Ștefănescu, nr.5, bl.445, sc.A, et.7, ap.39</t>
  </si>
  <si>
    <t xml:space="preserve">CĂTĂNEA CLAUDIA </t>
  </si>
  <si>
    <t>MB1037561</t>
  </si>
  <si>
    <t>București, Sector 3, Calea Călărași, nr.307</t>
  </si>
  <si>
    <t>0723577208</t>
  </si>
  <si>
    <t>PALANGĂ ELENA</t>
  </si>
  <si>
    <t>RR nr. 822197</t>
  </si>
  <si>
    <t>23.02.2026</t>
  </si>
  <si>
    <t>730050794</t>
  </si>
  <si>
    <t>03.03.2026</t>
  </si>
  <si>
    <t>04.03.2026</t>
  </si>
  <si>
    <t>09.03.2026</t>
  </si>
  <si>
    <t>Nr.694/05.03.2026,12 luni, grav cu asistent personal</t>
  </si>
  <si>
    <t>19.03.2026</t>
  </si>
  <si>
    <t>27.02.2026</t>
  </si>
  <si>
    <t>Nr.5076/17.12.2025,permanent, grav cu asistent personal</t>
  </si>
  <si>
    <t>A</t>
  </si>
  <si>
    <t>28.03.2026</t>
  </si>
  <si>
    <t>BODEA ELISABETA</t>
  </si>
  <si>
    <t>HD nr. 731087</t>
  </si>
  <si>
    <t>27.03.2026</t>
  </si>
  <si>
    <t>Hunedoara, Mun. Deva, Bdul Dacia, bl. P+10, sc.a, et.3, ap. 2</t>
  </si>
  <si>
    <t>BODEA IOANA-ADINA</t>
  </si>
  <si>
    <t>HD   nr. 859039</t>
  </si>
  <si>
    <t>Hunedoara, Mun. Deva, Bdul Dacia, bl. P+10, sc.a, et.3, ap. 21</t>
  </si>
  <si>
    <t>dasdeva@primariadeva.ro,Jud. Hunedoara, Mun. Deva, Str. I.L.Caragiale, nr.4, 0254218030</t>
  </si>
  <si>
    <t>02.04.2026</t>
  </si>
  <si>
    <t>DECES ORA 07.30</t>
  </si>
  <si>
    <t>AVRAM AURELIAN</t>
  </si>
  <si>
    <t>VX nr.688990</t>
  </si>
  <si>
    <t>03.04.2026</t>
  </si>
  <si>
    <t>Vâlcea, Sat. Izvoru Rece (Com. Vaideeni)</t>
  </si>
  <si>
    <t>CĂPĂȚÎNĂ LAVINIA</t>
  </si>
  <si>
    <t>DP nr. 203196</t>
  </si>
  <si>
    <t>Mun. București, Sector 6, Bd. Timișoara, nr.14A, bl.1, sc.3, et.10, ap.268</t>
  </si>
  <si>
    <t>0723779076</t>
  </si>
  <si>
    <t>GHEORGHE IONIȚĂ</t>
  </si>
  <si>
    <t>KL nr.452767</t>
  </si>
  <si>
    <t>09.04.2026</t>
  </si>
  <si>
    <t>Călărași, Mun. Oltenița, Str. 23 Aprilie, nr.157</t>
  </si>
  <si>
    <t>RK nr. 846885</t>
  </si>
  <si>
    <t>București, Sector 4, Str. Moldovița, nr.15A, bl.1, sc.A, et.1, ap.3</t>
  </si>
  <si>
    <t>0774479271</t>
  </si>
  <si>
    <t>GHEORGHE JEAN</t>
  </si>
  <si>
    <t>COMAN ANETA</t>
  </si>
  <si>
    <t>COAN NICOLETA</t>
  </si>
  <si>
    <t>0745088035</t>
  </si>
  <si>
    <t>ZC nr. 256717</t>
  </si>
  <si>
    <t>15.04.2026</t>
  </si>
  <si>
    <t>Bacău, Mun.Onești, Str. George Bacovia, nr.5, sc.A, ap.1</t>
  </si>
  <si>
    <t>RK   nr. 611070</t>
  </si>
  <si>
    <t>București, Sec.4, Str. Ghimpați, nr.17, bl.3, sc.3, et.6, ap.89</t>
  </si>
  <si>
    <t xml:space="preserve">primaria@onesti.ro, Mun. Onești,Bdul Oituz, nr.17, 0234313911 </t>
  </si>
  <si>
    <t>17.04.2026</t>
  </si>
  <si>
    <t>DECES SUUB-ORA 22.00</t>
  </si>
  <si>
    <t>COMAN CECILIAN</t>
  </si>
  <si>
    <t>IF nr.336992</t>
  </si>
  <si>
    <t>22.04.2026</t>
  </si>
  <si>
    <t>Ilfov, Sat. Clinceni (Com. Clinceni),Str. Principală, nr.95</t>
  </si>
  <si>
    <t>COMAN ELENA</t>
  </si>
  <si>
    <t>IF nr. 802018</t>
  </si>
  <si>
    <t>0728751994</t>
  </si>
  <si>
    <t>21.04.2026</t>
  </si>
  <si>
    <t>DECES SUUB</t>
  </si>
  <si>
    <t>23.04.2026</t>
  </si>
  <si>
    <t>LUCIA IOAN</t>
  </si>
  <si>
    <t>RT nr. 312376</t>
  </si>
  <si>
    <t>30.04.2026</t>
  </si>
  <si>
    <t>București, Sector 5, Str.Vigoniei, nr.4, bl.9, sc.3, et.2, ap.76</t>
  </si>
  <si>
    <t>LUCIA PETRE</t>
  </si>
  <si>
    <t>RZ nr. 223325</t>
  </si>
  <si>
    <t>București, Sector 2, Str. Răscoala 1907, bl.15, sc.1, ap.1</t>
  </si>
  <si>
    <t>ROȘU CORNEL</t>
  </si>
  <si>
    <t>RR nr. 917431</t>
  </si>
  <si>
    <t>București, Sector 6, Bdul Iuliu Maniu, nr.55, bl.17, sc.B, et.10, ap.80</t>
  </si>
  <si>
    <t xml:space="preserve">ROȘU BOGDAN </t>
  </si>
  <si>
    <t>RK nr. 765331</t>
  </si>
  <si>
    <t>București, Sector 6, Ale. Potaisa,  nr.7, bl.A18, sc.A, et.4, ap.15</t>
  </si>
  <si>
    <t>0757066634</t>
  </si>
  <si>
    <t>0723718001</t>
  </si>
  <si>
    <t>București, Sec.5, Str. Sabinelor, nr.79, ap.1</t>
  </si>
  <si>
    <t>Ilfov, Loc.Domnești(Com.Domnești),  Str. Ciutaci, nr.194</t>
  </si>
  <si>
    <t>13.05.2026</t>
  </si>
  <si>
    <t>ÎN CURS</t>
  </si>
  <si>
    <t>DECES SPITALUL PANTELIMON BUCUREȘTI</t>
  </si>
  <si>
    <t>24.05.2026</t>
  </si>
  <si>
    <t>DRAGNEA ANTOANETA</t>
  </si>
  <si>
    <t>RR nr. 597998</t>
  </si>
  <si>
    <t>09.06.2026</t>
  </si>
  <si>
    <t>București, Sector 6, Ale. Țincani, nr.1, bl.F12, sc.C, ap.37</t>
  </si>
  <si>
    <t>DOBRESCU ALINA</t>
  </si>
  <si>
    <t>IF  nr. 941083</t>
  </si>
  <si>
    <t>Ilfov, Oraș Bragadiru, Str. Iernii, nr.4A-4B</t>
  </si>
  <si>
    <t>0722255557</t>
  </si>
  <si>
    <t>POTÂRNICHE MIHAELA-MIRELA</t>
  </si>
  <si>
    <t>10.06.2026</t>
  </si>
  <si>
    <t>RZ nr. 256661</t>
  </si>
  <si>
    <t>București, Sector 1, Str. Arad, nr.24</t>
  </si>
  <si>
    <t>DRAGOMIRESCU ANDREEA</t>
  </si>
  <si>
    <t>RZ  nr. 396233</t>
  </si>
  <si>
    <t>București, Sector 5, Cal. Rahovei, nr.352, bl.20A, sc.1, ap.4</t>
  </si>
  <si>
    <t>0757175462</t>
  </si>
  <si>
    <t>registratura@dgaspc-sectorul1.ro; prestatii.dezabilitatii@dgaspc-sectorul1.ro, Bdul. Mareșal Averescu nr.17, Sector 1, București, 212234197</t>
  </si>
  <si>
    <t>DIACENCU LIVIA</t>
  </si>
  <si>
    <t>BC nr. 963957</t>
  </si>
  <si>
    <t>18.06.2026</t>
  </si>
  <si>
    <t xml:space="preserve">Bacău, Municipiul Bacău, Str. Ghioceilor, nr.13, sc.B, ap.1 </t>
  </si>
  <si>
    <t>DIACENCU ADELA-LIVIA</t>
  </si>
  <si>
    <t>IF  nr785915</t>
  </si>
  <si>
    <t>Ilfov, Oraș Bragadiru, Strada Coralului, nr.7, bl.4, et.2, ap.39</t>
  </si>
  <si>
    <t>0740000021</t>
  </si>
  <si>
    <t>contact@dasbacau.ro, Bacău, Str. Pictor Theodor Aman, nr.94C,  0372777859</t>
  </si>
  <si>
    <t>Nr.1358/22.06.2026, grav cu asistent personal,24 luni</t>
  </si>
  <si>
    <t>ÎNSCRIS</t>
  </si>
  <si>
    <t>NÎ</t>
  </si>
  <si>
    <t>26.06.2026</t>
  </si>
  <si>
    <t>DECES, ORA 11.00</t>
  </si>
  <si>
    <t>29.06.2026</t>
  </si>
  <si>
    <t>MAICAN MARIA</t>
  </si>
  <si>
    <t>MAICAN FLORENTIN</t>
  </si>
  <si>
    <t>RR nr.641930</t>
  </si>
  <si>
    <t>03.07.2026</t>
  </si>
  <si>
    <t>București, Sector 5, Cal. Rahovei, nr.309, bl.44, et.2, sc.8, ap.76</t>
  </si>
  <si>
    <t>IF nr.631643</t>
  </si>
  <si>
    <t>Ilfov, Oraș Bragadiru, Str. Crișul Repede, nr. 34-32, Vila 2, Corp 1</t>
  </si>
  <si>
    <t>0722775462</t>
  </si>
  <si>
    <t>09.07.2026</t>
  </si>
  <si>
    <t>NENTU MARIA</t>
  </si>
  <si>
    <t>IF nr. 471707</t>
  </si>
  <si>
    <t>Ilfov, Oraș Bragadiru, Str.Unirii, nr.26</t>
  </si>
  <si>
    <t>PETRESCU ELISABETA</t>
  </si>
  <si>
    <t>IF  nr. 786607</t>
  </si>
  <si>
    <t>Ilfov, Oraș Bragadiru, Șos. Alexandriei, nr.520</t>
  </si>
  <si>
    <t>0722325338</t>
  </si>
  <si>
    <t>Nr.18/10.01.2024,permanent, grav cu asistent personal</t>
  </si>
  <si>
    <t>Nr. 1976/23.06.2015, accentuat, permanent</t>
  </si>
  <si>
    <t>certificat de luptător</t>
  </si>
  <si>
    <t> Nr.3606/23.06.2026, 12 luni, grav cu asistent personal</t>
  </si>
  <si>
    <t>DECEDAT</t>
  </si>
  <si>
    <t>20.07.2026</t>
  </si>
  <si>
    <t>MIHAI ELENA</t>
  </si>
  <si>
    <t>RD nr. 512962</t>
  </si>
  <si>
    <t>08.07.2026</t>
  </si>
  <si>
    <t>București, Sec. 5, Str. Sălaj, nr.259, bl.4B, sc.1,et.1, ap.7</t>
  </si>
  <si>
    <t>PÎRVAN LUCIAN</t>
  </si>
  <si>
    <t>MB1011982</t>
  </si>
  <si>
    <t>București, Sec. 5, Str. Drumul Vulturești,  nr.6</t>
  </si>
  <si>
    <t>0753037704</t>
  </si>
  <si>
    <t>NEÎNSCRIS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</si>
</sst>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\ mmm\ 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mbria"/>
      <family val="1"/>
    </font>
    <font>
      <sz val="11"/>
      <color theme="1"/>
      <name val="Times New Roman"/>
      <family val="1"/>
    </font>
    <font>
      <sz val="11"/>
      <color theme="1"/>
      <name val="Georgia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b/>
      <sz val="9"/>
      <color rgb="FFFF0000"/>
      <name val="Calibri"/>
      <family val="2"/>
      <scheme val="minor"/>
    </font>
    <font>
      <b/>
      <sz val="9"/>
      <color rgb="FFFF0000"/>
      <name val="Cambria"/>
      <family val="1"/>
    </font>
    <font>
      <sz val="10"/>
      <color theme="1"/>
      <name val="Georgia"/>
      <family val="1"/>
    </font>
    <font>
      <sz val="9"/>
      <color theme="1"/>
      <name val="Georgia"/>
      <family val="1"/>
    </font>
    <font>
      <b/>
      <sz val="11"/>
      <color rgb="FFFF0000"/>
      <name val="Cambria"/>
      <family val="1"/>
    </font>
    <font>
      <b/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1" xfId="0" applyFont="1" applyBorder="1"/>
    <xf numFmtId="0" fontId="1" fillId="0" borderId="0" xfId="0" applyFont="1"/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top"/>
    </xf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left"/>
    </xf>
    <xf numFmtId="0" fontId="6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6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0" fontId="4" fillId="3" borderId="1" xfId="0" applyFont="1" applyFill="1" applyBorder="1"/>
    <xf numFmtId="1" fontId="6" fillId="3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2" borderId="4" xfId="0" applyFont="1" applyFill="1" applyBorder="1"/>
    <xf numFmtId="0" fontId="4" fillId="2" borderId="3" xfId="0" applyFont="1" applyFill="1" applyBorder="1"/>
    <xf numFmtId="0" fontId="4" fillId="3" borderId="1" xfId="0" applyFont="1" applyFill="1" applyBorder="1" applyAlignment="1">
      <alignment horizontal="center"/>
    </xf>
    <xf numFmtId="0" fontId="6" fillId="3" borderId="4" xfId="0" applyFont="1" applyFill="1" applyBorder="1"/>
    <xf numFmtId="0" fontId="6" fillId="3" borderId="3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/>
    <xf numFmtId="0" fontId="6" fillId="3" borderId="3" xfId="0" applyFont="1" applyFill="1" applyBorder="1" applyAlignment="1">
      <alignment horizontal="left"/>
    </xf>
    <xf numFmtId="0" fontId="12" fillId="0" borderId="1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6" fillId="4" borderId="5" xfId="0" applyFont="1" applyFill="1" applyBorder="1" applyAlignment="1">
      <alignment horizontal="left"/>
    </xf>
    <xf numFmtId="0" fontId="3" fillId="4" borderId="1" xfId="0" applyFont="1" applyFill="1" applyBorder="1"/>
    <xf numFmtId="0" fontId="5" fillId="4" borderId="6" xfId="0" applyFont="1" applyFill="1" applyBorder="1"/>
    <xf numFmtId="0" fontId="5" fillId="4" borderId="6" xfId="0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165" fontId="6" fillId="4" borderId="6" xfId="0" applyNumberFormat="1" applyFont="1" applyFill="1" applyBorder="1" applyAlignment="1">
      <alignment horizontal="left"/>
    </xf>
    <xf numFmtId="0" fontId="6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6" xfId="0" applyFont="1" applyFill="1" applyBorder="1"/>
    <xf numFmtId="0" fontId="6" fillId="4" borderId="0" xfId="0" applyFont="1" applyFill="1"/>
    <xf numFmtId="49" fontId="6" fillId="4" borderId="7" xfId="0" applyNumberFormat="1" applyFont="1" applyFill="1" applyBorder="1"/>
    <xf numFmtId="0" fontId="8" fillId="4" borderId="6" xfId="0" applyFont="1" applyFill="1" applyBorder="1"/>
    <xf numFmtId="0" fontId="4" fillId="4" borderId="1" xfId="0" applyFont="1" applyFill="1" applyBorder="1" applyAlignment="1">
      <alignment horizontal="center" vertical="top"/>
    </xf>
    <xf numFmtId="0" fontId="13" fillId="0" borderId="1" xfId="1" applyBorder="1" applyAlignment="1">
      <alignment wrapText="1"/>
    </xf>
    <xf numFmtId="0" fontId="14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13" fillId="4" borderId="1" xfId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8" fillId="0" borderId="0" xfId="0" applyFont="1"/>
    <xf numFmtId="0" fontId="6" fillId="0" borderId="4" xfId="0" applyFont="1" applyBorder="1"/>
    <xf numFmtId="0" fontId="12" fillId="0" borderId="4" xfId="0" applyFont="1" applyBorder="1"/>
    <xf numFmtId="0" fontId="18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6" fillId="0" borderId="5" xfId="0" applyFont="1" applyBorder="1"/>
    <xf numFmtId="49" fontId="6" fillId="0" borderId="1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5" fillId="3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/>
    <xf numFmtId="0" fontId="4" fillId="0" borderId="2" xfId="0" applyFont="1" applyBorder="1"/>
    <xf numFmtId="1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4" fillId="0" borderId="2" xfId="0" applyFont="1" applyBorder="1" applyAlignment="1">
      <alignment horizontal="center"/>
    </xf>
    <xf numFmtId="0" fontId="17" fillId="0" borderId="1" xfId="0" applyFont="1" applyBorder="1"/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17" fillId="0" borderId="6" xfId="0" applyNumberFormat="1" applyFont="1" applyBorder="1" applyAlignment="1">
      <alignment horizontal="left"/>
    </xf>
    <xf numFmtId="0" fontId="18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19" fillId="4" borderId="1" xfId="0" applyFont="1" applyFill="1" applyBorder="1" applyAlignment="1">
      <alignment horizontal="center"/>
    </xf>
    <xf numFmtId="0" fontId="13" fillId="0" borderId="1" xfId="1" applyBorder="1"/>
    <xf numFmtId="1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left"/>
    </xf>
    <xf numFmtId="0" fontId="8" fillId="0" borderId="0" xfId="0" applyFont="1" applyAlignment="1">
      <alignment wrapText="1"/>
    </xf>
    <xf numFmtId="0" fontId="1" fillId="0" borderId="1" xfId="0" applyFont="1" applyBorder="1"/>
    <xf numFmtId="164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5" fillId="0" borderId="0" xfId="0" applyFont="1" applyAlignment="1">
      <alignment wrapText="1"/>
    </xf>
    <xf numFmtId="0" fontId="4" fillId="0" borderId="0" xfId="0" applyFont="1"/>
    <xf numFmtId="0" fontId="13" fillId="0" borderId="1" xfId="1" applyBorder="1" applyAlignment="1"/>
    <xf numFmtId="0" fontId="4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6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dgaspc6.com,%20Aleea%20Istru%204B,%20Bucure&#537;ti%20061912,%200316%20208%20017" TargetMode="External"/><Relationship Id="rId13" Type="http://schemas.openxmlformats.org/officeDocument/2006/relationships/hyperlink" Target="mailto:office@primariamagurele.ro,%20Str.%20C&#259;lugareni,%20Nr.%202%20&#8211;%204,%20M&#259;gurele,Ilfov,%20(021)%20457-4098" TargetMode="External"/><Relationship Id="rId18" Type="http://schemas.openxmlformats.org/officeDocument/2006/relationships/hyperlink" Target="mailto:sesizari@primariagalati.ro,%20str.%20Domneasc&#259;,%20nr.%2054,%20800258,%20Jude&#539;:%20Galati,%20Romania,%20236307775" TargetMode="External"/><Relationship Id="rId26" Type="http://schemas.openxmlformats.org/officeDocument/2006/relationships/hyperlink" Target="mailto:primariaclinceni@yahoo.com,%20Clinceni,%20str.Principal&#259;,%20nr.107A,%20786099925" TargetMode="External"/><Relationship Id="rId3" Type="http://schemas.openxmlformats.org/officeDocument/2006/relationships/hyperlink" Target="mailto:asistentasociala@primariaorasbragadiru.ro,%20ora&#537;%20Bragadiru,%20&#537;os.%20Alexandriei,%20nr.249,%20jude&#539;%20Ilfov,%20214480795" TargetMode="External"/><Relationship Id="rId21" Type="http://schemas.openxmlformats.org/officeDocument/2006/relationships/hyperlink" Target="mailto:asistenta.sociala@primariarosioriidevede.ro,%20Teleorman,%20Ro&#537;iorii%20de%20Vede,%20Str.%20Sf&#226;ntul%20Teodor,%20nr.37D,%20240513641" TargetMode="External"/><Relationship Id="rId7" Type="http://schemas.openxmlformats.org/officeDocument/2006/relationships/hyperlink" Target="mailto:office@dgaspc6.com,%20Aleea%20Istru%204B,%20Bucure&#537;ti%20061912,%200316%20208%20017" TargetMode="External"/><Relationship Id="rId12" Type="http://schemas.openxmlformats.org/officeDocument/2006/relationships/hyperlink" Target="mailto:registratura@primariachiajna.ro,%20Str.%20Speran&#539;ei,%20nr.%201bis,%20satul%20Dudu,%20comuna%20Chiajna,%20jude&#539;ul%20Ilfov,%20214361122" TargetMode="External"/><Relationship Id="rId17" Type="http://schemas.openxmlformats.org/officeDocument/2006/relationships/hyperlink" Target="mailto:primariaclinceni@yahoo.com,%20Clinceni,%20str.Principal&#259;,%20nr.107A,%20786099925" TargetMode="External"/><Relationship Id="rId25" Type="http://schemas.openxmlformats.org/officeDocument/2006/relationships/hyperlink" Target="mailto:primaria@onesti.ro,%20Mun.%20One&#537;ti,Bdul%20Oituz,%20nr.17,%200234313911" TargetMode="External"/><Relationship Id="rId2" Type="http://schemas.openxmlformats.org/officeDocument/2006/relationships/hyperlink" Target="mailto:asistentasociala@primariaorasbragadiru.ro,%20ora&#537;%20Bragadiru,%20&#537;os.%20Alexandriei,%20nr.249,%20jude&#539;%20Ilfov,%20214480795" TargetMode="External"/><Relationship Id="rId16" Type="http://schemas.openxmlformats.org/officeDocument/2006/relationships/hyperlink" Target="mailto:social@social2.ro,%20Str.%20Olari%20nr.%2015,%20021252.22.02" TargetMode="External"/><Relationship Id="rId20" Type="http://schemas.openxmlformats.org/officeDocument/2006/relationships/hyperlink" Target="mailto:asistentasociala@primariaorasbragadiru.ro,%20ora&#537;%20Bragadiru,%20&#537;os.%20Alexandriei,%20nr.249,%20jude&#539;%20Ilfov,%20214480795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prestatii.dezabilitatii@dgaspc-sectorul1.ro" TargetMode="External"/><Relationship Id="rId6" Type="http://schemas.openxmlformats.org/officeDocument/2006/relationships/hyperlink" Target="mailto:office@dgaspc6.com,%20Aleea%20Istru%204B,%20Bucure&#537;ti%20061912,%200316%20208%20017" TargetMode="External"/><Relationship Id="rId11" Type="http://schemas.openxmlformats.org/officeDocument/2006/relationships/hyperlink" Target="mailto:contact@dgaspc4.ro,%20Bucuresti,%20Sector%204,%20B-dul%20Metalurgiei,%20Nr.%2012-18,%200372%20756%20313" TargetMode="External"/><Relationship Id="rId24" Type="http://schemas.openxmlformats.org/officeDocument/2006/relationships/hyperlink" Target="mailto:dasdeva@primariadeva.ro,Jud.%20Hunedoara,%20Mun.%20Deva,%20Str.%20I.L.Caragiale,%20nr.4,%200254218030" TargetMode="External"/><Relationship Id="rId5" Type="http://schemas.openxmlformats.org/officeDocument/2006/relationships/hyperlink" Target="mailto:office@dgaspc3.ro,%20Adresa:&#160;Strada%20Parfumului,%20nr.%202-4,%20Sector%203,%200372126100;%20%20%200213410713" TargetMode="External"/><Relationship Id="rId15" Type="http://schemas.openxmlformats.org/officeDocument/2006/relationships/hyperlink" Target="mailto:registratura@primariachiajna.ro,%20Str.%20Speran&#539;ei,%20nr.%201bis,%20satul%20Dudu,%20comuna%20Chiajna,%20jude&#539;ul%20Ilfov,%20214361122" TargetMode="External"/><Relationship Id="rId23" Type="http://schemas.openxmlformats.org/officeDocument/2006/relationships/hyperlink" Target="mailto:office@dgaspc5.ro,%20Str.%20Fabrica%20de%20Chibrituri%20nr.%209-11,%20sector%205,%2021310" TargetMode="External"/><Relationship Id="rId28" Type="http://schemas.openxmlformats.org/officeDocument/2006/relationships/hyperlink" Target="mailto:office@dgaspc5.ro,%20Str.%20Fabrica%20de%20Chibrituri%20nr.%209-11,%20sector%205,%2021310" TargetMode="External"/><Relationship Id="rId10" Type="http://schemas.openxmlformats.org/officeDocument/2006/relationships/hyperlink" Target="mailto:primariacosereni@yahoo.com,%20comuna%20Co&#537;ereni,%20str.%20Bucure&#537;ti,%20nr.130,%20Jud.%20Ialomi&#539;a,%20243318006" TargetMode="External"/><Relationship Id="rId19" Type="http://schemas.openxmlformats.org/officeDocument/2006/relationships/hyperlink" Target="mailto:contact@dgaspc4.ro,%20Bucuresti,%20Sector%204,%20B-dul%20Metalurgiei,%20Nr.%2012-18,%200372%20756%20313" TargetMode="External"/><Relationship Id="rId4" Type="http://schemas.openxmlformats.org/officeDocument/2006/relationships/hyperlink" Target="mailto:office@dgaspc3.ro,%20Adresa:&#160;Strada%20Parfumului,%20nr.%202-4,%20Sector%203,%200372126100;%20%20%200213410713" TargetMode="External"/><Relationship Id="rId9" Type="http://schemas.openxmlformats.org/officeDocument/2006/relationships/hyperlink" Target="mailto:office@dgaspc6.com,%20Aleea%20Istru%204B,%20Bucure&#537;ti%20061912,%200316%20208%20017" TargetMode="External"/><Relationship Id="rId14" Type="http://schemas.openxmlformats.org/officeDocument/2006/relationships/hyperlink" Target="mailto:cl_roatadejos@yahoo.com;contact@primariaroatadejos.ro,%20Strada%20Republicii,%20nr.%2065,%20Comuna%20Roata%20de%20Jos,%20Jude&#539;ul%20Giurgiu,%20246266115" TargetMode="External"/><Relationship Id="rId22" Type="http://schemas.openxmlformats.org/officeDocument/2006/relationships/hyperlink" Target="mailto:office@dgaspc6.com,%20Aleea%20Istru%204B,%20Bucure&#537;ti%20061912,%200316%20208%20017" TargetMode="External"/><Relationship Id="rId27" Type="http://schemas.openxmlformats.org/officeDocument/2006/relationships/hyperlink" Target="mailto:contact@dasbacau.ro,%20Bac&#259;u,%20Str.%20Pictor%20Theodor%20Aman,%20nr.94C,%20%200372777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S69"/>
  <sheetViews>
    <sheetView tabSelected="1" workbookViewId="0">
      <selection activeCell="J15" sqref="J15"/>
    </sheetView>
  </sheetViews>
  <sheetFormatPr defaultColWidth="22.109375" defaultRowHeight="19.350000000000001" customHeight="1"/>
  <cols>
    <col min="1" max="1" width="4.21875" style="2" customWidth="1"/>
    <col min="2" max="2" width="28.21875" style="27" customWidth="1"/>
    <col min="3" max="3" width="8.5546875" style="27" customWidth="1"/>
    <col min="4" max="4" width="16.44140625" style="8" customWidth="1"/>
    <col min="5" max="5" width="6.88671875" style="3" customWidth="1"/>
    <col min="6" max="6" width="11.109375" style="4" customWidth="1"/>
    <col min="7" max="7" width="15.5546875" style="5" customWidth="1"/>
    <col min="8" max="8" width="17.77734375" style="5" customWidth="1"/>
    <col min="9" max="9" width="17.6640625" style="5" customWidth="1"/>
    <col min="10" max="10" width="50.109375" style="5" customWidth="1"/>
    <col min="11" max="11" width="27" style="2" customWidth="1"/>
    <col min="12" max="12" width="15.21875" style="6" customWidth="1"/>
    <col min="13" max="13" width="13.5546875" style="5" customWidth="1"/>
    <col min="14" max="14" width="54.21875" style="5" customWidth="1"/>
    <col min="15" max="15" width="13.88671875" style="5" customWidth="1"/>
    <col min="16" max="16" width="12.88671875" style="5" customWidth="1"/>
    <col min="17" max="17" width="40.88671875" style="5" customWidth="1"/>
    <col min="18" max="18" width="9.109375" style="5" customWidth="1"/>
    <col min="19" max="19" width="82.88671875" style="5" customWidth="1"/>
    <col min="20" max="16384" width="22.109375" style="5"/>
  </cols>
  <sheetData>
    <row r="1" spans="1:19" ht="19.350000000000001" customHeight="1">
      <c r="A1" s="116" t="s">
        <v>86</v>
      </c>
      <c r="B1" s="26" t="s">
        <v>0</v>
      </c>
      <c r="C1" s="53" t="s">
        <v>181</v>
      </c>
      <c r="D1" s="9" t="s">
        <v>1</v>
      </c>
      <c r="E1" s="7" t="s">
        <v>2</v>
      </c>
      <c r="F1" s="10" t="s">
        <v>3</v>
      </c>
      <c r="G1" s="7" t="s">
        <v>33</v>
      </c>
      <c r="H1" s="7" t="s">
        <v>84</v>
      </c>
      <c r="I1" s="7" t="s">
        <v>53</v>
      </c>
      <c r="J1" s="7" t="s">
        <v>85</v>
      </c>
      <c r="K1" s="7" t="s">
        <v>0</v>
      </c>
      <c r="L1" s="11" t="s">
        <v>1</v>
      </c>
      <c r="M1" s="7" t="s">
        <v>33</v>
      </c>
      <c r="N1" s="7" t="s">
        <v>85</v>
      </c>
      <c r="O1" s="25" t="s">
        <v>87</v>
      </c>
      <c r="P1" s="52" t="s">
        <v>167</v>
      </c>
      <c r="Q1" s="88" t="s">
        <v>182</v>
      </c>
      <c r="R1" s="7" t="s">
        <v>183</v>
      </c>
      <c r="S1" s="7" t="s">
        <v>275</v>
      </c>
    </row>
    <row r="2" spans="1:19" ht="19.350000000000001" customHeight="1">
      <c r="A2" s="12"/>
      <c r="B2" s="26"/>
      <c r="C2" s="26"/>
      <c r="D2" s="9"/>
      <c r="E2" s="7"/>
      <c r="F2" s="10"/>
      <c r="G2" s="7"/>
      <c r="H2" s="7"/>
      <c r="I2" s="7"/>
      <c r="J2" s="7"/>
      <c r="K2" s="7"/>
      <c r="L2" s="11"/>
      <c r="M2" s="7"/>
      <c r="N2" s="7"/>
      <c r="O2" s="25"/>
      <c r="P2" s="51"/>
      <c r="Q2" s="89"/>
      <c r="R2" s="51"/>
      <c r="S2" s="51"/>
    </row>
    <row r="3" spans="1:19" ht="26.4" customHeight="1">
      <c r="A3" s="97">
        <v>1</v>
      </c>
      <c r="B3" s="13" t="s">
        <v>265</v>
      </c>
      <c r="C3" s="44" t="s">
        <v>184</v>
      </c>
      <c r="D3" s="139">
        <v>2350401400781</v>
      </c>
      <c r="E3" s="14">
        <f t="shared" ref="E3:E13" ca="1" si="0">DATEDIF(DATE(MID(D3,2,2),MID(D3,4,2),MID(D3,6,2)),TODAY(),"y")</f>
        <v>91</v>
      </c>
      <c r="F3" s="15">
        <f t="shared" ref="F3:F13" si="1">DATE(IF(LEFT(D3,1)*1&lt;=2,MID(D3,2,2),MID(D3,2,2)+100),MID(D3,4,2),MID(D3,6,2))</f>
        <v>12875</v>
      </c>
      <c r="G3" s="16" t="s">
        <v>266</v>
      </c>
      <c r="H3" s="17">
        <v>1741</v>
      </c>
      <c r="I3" s="18" t="s">
        <v>267</v>
      </c>
      <c r="J3" s="16" t="s">
        <v>273</v>
      </c>
      <c r="K3" s="19" t="s">
        <v>268</v>
      </c>
      <c r="L3" s="14">
        <v>1630206163221</v>
      </c>
      <c r="M3" s="18" t="s">
        <v>269</v>
      </c>
      <c r="N3" s="111" t="s">
        <v>270</v>
      </c>
      <c r="O3" s="109" t="s">
        <v>271</v>
      </c>
      <c r="P3" s="130" t="s">
        <v>504</v>
      </c>
      <c r="Q3" s="90" t="s">
        <v>503</v>
      </c>
      <c r="R3" s="1"/>
      <c r="S3" s="86" t="s">
        <v>276</v>
      </c>
    </row>
    <row r="4" spans="1:19" ht="19.350000000000001" customHeight="1">
      <c r="A4" s="97">
        <v>2</v>
      </c>
      <c r="B4" s="13" t="s">
        <v>409</v>
      </c>
      <c r="C4" s="44" t="s">
        <v>184</v>
      </c>
      <c r="D4" s="138">
        <v>2520906201002</v>
      </c>
      <c r="E4" s="14">
        <f t="shared" ca="1" si="0"/>
        <v>73</v>
      </c>
      <c r="F4" s="15">
        <f t="shared" si="1"/>
        <v>19243</v>
      </c>
      <c r="G4" s="16" t="s">
        <v>410</v>
      </c>
      <c r="H4" s="17">
        <v>420</v>
      </c>
      <c r="I4" s="18" t="s">
        <v>411</v>
      </c>
      <c r="J4" s="16" t="s">
        <v>412</v>
      </c>
      <c r="K4" s="19" t="s">
        <v>413</v>
      </c>
      <c r="L4" s="14">
        <v>2871023205561</v>
      </c>
      <c r="M4" s="16" t="s">
        <v>414</v>
      </c>
      <c r="N4" s="23" t="s">
        <v>415</v>
      </c>
      <c r="O4" s="14">
        <v>353894685155</v>
      </c>
      <c r="P4" s="130" t="s">
        <v>504</v>
      </c>
      <c r="Q4" s="98" t="s">
        <v>474</v>
      </c>
      <c r="R4" s="23"/>
      <c r="S4" s="133" t="s">
        <v>416</v>
      </c>
    </row>
    <row r="5" spans="1:19" ht="19.350000000000001" customHeight="1">
      <c r="A5" s="97">
        <v>3</v>
      </c>
      <c r="B5" s="13" t="s">
        <v>132</v>
      </c>
      <c r="C5" s="44" t="s">
        <v>186</v>
      </c>
      <c r="D5" s="139">
        <v>2511004400848</v>
      </c>
      <c r="E5" s="14">
        <f t="shared" ca="1" si="0"/>
        <v>74</v>
      </c>
      <c r="F5" s="15">
        <f t="shared" si="1"/>
        <v>18905</v>
      </c>
      <c r="G5" s="16" t="s">
        <v>100</v>
      </c>
      <c r="H5" s="17">
        <v>458</v>
      </c>
      <c r="I5" s="45" t="s">
        <v>99</v>
      </c>
      <c r="J5" s="16" t="s">
        <v>101</v>
      </c>
      <c r="K5" s="19" t="s">
        <v>136</v>
      </c>
      <c r="L5" s="14">
        <v>2791209472518</v>
      </c>
      <c r="M5" s="18" t="s">
        <v>102</v>
      </c>
      <c r="N5" s="111" t="s">
        <v>101</v>
      </c>
      <c r="O5" s="109" t="s">
        <v>103</v>
      </c>
      <c r="P5" s="130" t="s">
        <v>504</v>
      </c>
      <c r="Q5" s="90" t="s">
        <v>298</v>
      </c>
      <c r="R5" s="1"/>
      <c r="S5" s="85" t="s">
        <v>278</v>
      </c>
    </row>
    <row r="6" spans="1:19" ht="19.350000000000001" customHeight="1">
      <c r="A6" s="97">
        <v>4</v>
      </c>
      <c r="B6" s="13" t="s">
        <v>106</v>
      </c>
      <c r="C6" s="44" t="s">
        <v>184</v>
      </c>
      <c r="D6" s="138">
        <v>2361205400408</v>
      </c>
      <c r="E6" s="14">
        <f t="shared" ca="1" si="0"/>
        <v>89</v>
      </c>
      <c r="F6" s="15">
        <f t="shared" si="1"/>
        <v>13489</v>
      </c>
      <c r="G6" s="16" t="s">
        <v>31</v>
      </c>
      <c r="H6" s="17">
        <v>303</v>
      </c>
      <c r="I6" s="18" t="s">
        <v>57</v>
      </c>
      <c r="J6" s="16" t="s">
        <v>297</v>
      </c>
      <c r="K6" s="19" t="s">
        <v>137</v>
      </c>
      <c r="L6" s="14">
        <v>1780925472537</v>
      </c>
      <c r="M6" s="18" t="s">
        <v>56</v>
      </c>
      <c r="N6" s="111" t="s">
        <v>297</v>
      </c>
      <c r="O6" s="109" t="s">
        <v>5</v>
      </c>
      <c r="P6" s="130" t="s">
        <v>504</v>
      </c>
      <c r="Q6" s="136" t="s">
        <v>189</v>
      </c>
      <c r="R6" s="1"/>
      <c r="S6" s="85" t="s">
        <v>278</v>
      </c>
    </row>
    <row r="7" spans="1:19" ht="19.350000000000001" customHeight="1">
      <c r="A7" s="97">
        <v>5</v>
      </c>
      <c r="B7" s="13" t="s">
        <v>105</v>
      </c>
      <c r="C7" s="44" t="s">
        <v>184</v>
      </c>
      <c r="D7" s="138">
        <v>2320808400641</v>
      </c>
      <c r="E7" s="14">
        <f t="shared" ca="1" si="0"/>
        <v>93</v>
      </c>
      <c r="F7" s="15">
        <f t="shared" si="1"/>
        <v>11909</v>
      </c>
      <c r="G7" s="16" t="s">
        <v>72</v>
      </c>
      <c r="H7" s="17">
        <v>801</v>
      </c>
      <c r="I7" s="18" t="s">
        <v>73</v>
      </c>
      <c r="J7" s="16" t="s">
        <v>74</v>
      </c>
      <c r="K7" s="19" t="s">
        <v>138</v>
      </c>
      <c r="L7" s="14">
        <v>2530104400644</v>
      </c>
      <c r="M7" s="18" t="s">
        <v>75</v>
      </c>
      <c r="N7" s="111" t="s">
        <v>76</v>
      </c>
      <c r="O7" s="109" t="s">
        <v>77</v>
      </c>
      <c r="P7" s="130" t="s">
        <v>504</v>
      </c>
      <c r="Q7" s="90" t="s">
        <v>190</v>
      </c>
      <c r="R7" s="1"/>
      <c r="S7" s="85" t="s">
        <v>279</v>
      </c>
    </row>
    <row r="8" spans="1:19" ht="19.350000000000001" customHeight="1">
      <c r="A8" s="97">
        <v>6</v>
      </c>
      <c r="B8" s="13" t="s">
        <v>435</v>
      </c>
      <c r="C8" s="44" t="s">
        <v>184</v>
      </c>
      <c r="D8" s="138">
        <v>2580104044440</v>
      </c>
      <c r="E8" s="14">
        <f t="shared" ca="1" si="0"/>
        <v>68</v>
      </c>
      <c r="F8" s="15">
        <f t="shared" si="1"/>
        <v>21189</v>
      </c>
      <c r="G8" s="16" t="s">
        <v>438</v>
      </c>
      <c r="H8" s="17">
        <v>511</v>
      </c>
      <c r="I8" s="18" t="s">
        <v>439</v>
      </c>
      <c r="J8" s="16" t="s">
        <v>440</v>
      </c>
      <c r="K8" s="19" t="s">
        <v>436</v>
      </c>
      <c r="L8" s="14">
        <v>2770922044441</v>
      </c>
      <c r="M8" s="18" t="s">
        <v>441</v>
      </c>
      <c r="N8" s="102" t="s">
        <v>442</v>
      </c>
      <c r="O8" s="107" t="s">
        <v>437</v>
      </c>
      <c r="P8" s="130" t="s">
        <v>504</v>
      </c>
      <c r="Q8" s="98" t="s">
        <v>300</v>
      </c>
      <c r="R8" s="1"/>
      <c r="S8" s="85" t="s">
        <v>443</v>
      </c>
    </row>
    <row r="9" spans="1:19" ht="19.350000000000001" customHeight="1">
      <c r="A9" s="97">
        <v>7</v>
      </c>
      <c r="B9" s="13" t="s">
        <v>446</v>
      </c>
      <c r="C9" s="44" t="s">
        <v>184</v>
      </c>
      <c r="D9" s="138">
        <v>1510429400668</v>
      </c>
      <c r="E9" s="14">
        <f t="shared" ca="1" si="0"/>
        <v>75</v>
      </c>
      <c r="F9" s="15">
        <f t="shared" si="1"/>
        <v>18747</v>
      </c>
      <c r="G9" s="16" t="s">
        <v>447</v>
      </c>
      <c r="H9" s="17">
        <v>531</v>
      </c>
      <c r="I9" s="18" t="s">
        <v>448</v>
      </c>
      <c r="J9" s="16" t="s">
        <v>449</v>
      </c>
      <c r="K9" s="19" t="s">
        <v>450</v>
      </c>
      <c r="L9" s="14">
        <v>2741231472538</v>
      </c>
      <c r="M9" s="18" t="s">
        <v>451</v>
      </c>
      <c r="N9" s="102" t="s">
        <v>449</v>
      </c>
      <c r="O9" s="107" t="s">
        <v>452</v>
      </c>
      <c r="P9" s="130" t="s">
        <v>504</v>
      </c>
      <c r="Q9" s="140" t="s">
        <v>474</v>
      </c>
      <c r="R9" s="1"/>
      <c r="S9" s="85" t="s">
        <v>288</v>
      </c>
    </row>
    <row r="10" spans="1:19" ht="19.350000000000001" customHeight="1">
      <c r="A10" s="97">
        <v>8</v>
      </c>
      <c r="B10" s="19" t="s">
        <v>224</v>
      </c>
      <c r="C10" s="44" t="s">
        <v>184</v>
      </c>
      <c r="D10" s="139">
        <v>2490916400495</v>
      </c>
      <c r="E10" s="14">
        <f t="shared" ca="1" si="0"/>
        <v>76</v>
      </c>
      <c r="F10" s="15">
        <f t="shared" si="1"/>
        <v>18157</v>
      </c>
      <c r="G10" s="16" t="s">
        <v>225</v>
      </c>
      <c r="H10" s="17">
        <v>1661</v>
      </c>
      <c r="I10" s="18" t="s">
        <v>226</v>
      </c>
      <c r="J10" s="16" t="s">
        <v>227</v>
      </c>
      <c r="K10" s="19" t="s">
        <v>228</v>
      </c>
      <c r="L10" s="14">
        <v>1720808384206</v>
      </c>
      <c r="M10" s="18" t="s">
        <v>229</v>
      </c>
      <c r="N10" s="16" t="s">
        <v>230</v>
      </c>
      <c r="O10" s="109" t="s">
        <v>231</v>
      </c>
      <c r="P10" s="130" t="s">
        <v>504</v>
      </c>
      <c r="Q10" s="90" t="s">
        <v>406</v>
      </c>
      <c r="R10" s="1"/>
      <c r="S10" s="85" t="s">
        <v>277</v>
      </c>
    </row>
    <row r="11" spans="1:19" ht="19.350000000000001" customHeight="1">
      <c r="A11" s="97">
        <v>9</v>
      </c>
      <c r="B11" s="13" t="s">
        <v>239</v>
      </c>
      <c r="C11" s="44" t="s">
        <v>184</v>
      </c>
      <c r="D11" s="139">
        <v>1370117400064</v>
      </c>
      <c r="E11" s="14">
        <f t="shared" ca="1" si="0"/>
        <v>89</v>
      </c>
      <c r="F11" s="15">
        <f t="shared" si="1"/>
        <v>13532</v>
      </c>
      <c r="G11" s="16" t="s">
        <v>240</v>
      </c>
      <c r="H11" s="17">
        <v>1648</v>
      </c>
      <c r="I11" s="18" t="s">
        <v>234</v>
      </c>
      <c r="J11" s="16" t="s">
        <v>241</v>
      </c>
      <c r="K11" s="19" t="s">
        <v>236</v>
      </c>
      <c r="L11" s="14">
        <v>2710403461531</v>
      </c>
      <c r="M11" s="18" t="s">
        <v>237</v>
      </c>
      <c r="N11" s="103" t="s">
        <v>238</v>
      </c>
      <c r="O11" s="107" t="s">
        <v>242</v>
      </c>
      <c r="P11" s="130" t="s">
        <v>504</v>
      </c>
      <c r="Q11" s="90" t="s">
        <v>379</v>
      </c>
      <c r="R11" s="1"/>
      <c r="S11" s="85" t="s">
        <v>277</v>
      </c>
    </row>
    <row r="12" spans="1:19" ht="19.350000000000001" customHeight="1">
      <c r="A12" s="97">
        <v>10</v>
      </c>
      <c r="B12" s="13" t="s">
        <v>130</v>
      </c>
      <c r="C12" s="44" t="s">
        <v>186</v>
      </c>
      <c r="D12" s="139">
        <v>2400907214611</v>
      </c>
      <c r="E12" s="14">
        <f t="shared" ca="1" si="0"/>
        <v>85</v>
      </c>
      <c r="F12" s="15">
        <f t="shared" si="1"/>
        <v>14861</v>
      </c>
      <c r="G12" s="16" t="s">
        <v>88</v>
      </c>
      <c r="H12" s="17">
        <v>231</v>
      </c>
      <c r="I12" s="18" t="s">
        <v>90</v>
      </c>
      <c r="J12" s="16" t="s">
        <v>89</v>
      </c>
      <c r="K12" s="19" t="s">
        <v>139</v>
      </c>
      <c r="L12" s="14">
        <v>2670829214606</v>
      </c>
      <c r="M12" s="18" t="s">
        <v>91</v>
      </c>
      <c r="N12" s="102" t="s">
        <v>92</v>
      </c>
      <c r="O12" s="109" t="s">
        <v>93</v>
      </c>
      <c r="P12" s="130" t="s">
        <v>504</v>
      </c>
      <c r="Q12" s="91" t="s">
        <v>195</v>
      </c>
      <c r="R12" s="16"/>
      <c r="S12" s="85" t="s">
        <v>280</v>
      </c>
    </row>
    <row r="13" spans="1:19" s="23" customFormat="1" ht="19.350000000000001" customHeight="1">
      <c r="A13" s="97">
        <v>11</v>
      </c>
      <c r="B13" s="13" t="s">
        <v>341</v>
      </c>
      <c r="C13" s="44" t="s">
        <v>184</v>
      </c>
      <c r="D13" s="139">
        <v>1590609400256</v>
      </c>
      <c r="E13" s="134">
        <f t="shared" ca="1" si="0"/>
        <v>67</v>
      </c>
      <c r="F13" s="135">
        <f t="shared" si="1"/>
        <v>21710</v>
      </c>
      <c r="G13" s="16" t="s">
        <v>342</v>
      </c>
      <c r="H13" s="17">
        <v>170</v>
      </c>
      <c r="I13" s="18" t="s">
        <v>343</v>
      </c>
      <c r="J13" s="16" t="s">
        <v>344</v>
      </c>
      <c r="K13" s="19" t="s">
        <v>345</v>
      </c>
      <c r="L13" s="14">
        <v>1570624400345</v>
      </c>
      <c r="M13" s="18" t="s">
        <v>346</v>
      </c>
      <c r="N13" s="16" t="s">
        <v>347</v>
      </c>
      <c r="O13" s="109" t="s">
        <v>348</v>
      </c>
      <c r="P13" s="130" t="s">
        <v>504</v>
      </c>
      <c r="Q13" s="90" t="s">
        <v>403</v>
      </c>
      <c r="R13" s="1"/>
      <c r="S13" s="85" t="s">
        <v>349</v>
      </c>
    </row>
    <row r="14" spans="1:19" ht="19.350000000000001" customHeight="1">
      <c r="A14" s="97">
        <v>12</v>
      </c>
      <c r="B14" s="13" t="s">
        <v>494</v>
      </c>
      <c r="C14" s="44" t="s">
        <v>186</v>
      </c>
      <c r="D14" s="20">
        <v>2370522040012</v>
      </c>
      <c r="E14" s="14">
        <f ca="1">DATEDIF(DATE(MID(D13,2,2),MID(D13,4,2),MID(D13,6,2)),TODAY(),"y")</f>
        <v>67</v>
      </c>
      <c r="F14" s="15">
        <f>DATE(IF(LEFT(D13,1)*1&lt;=2,MID(D13,2,2),MID(D13,2,2)+100),MID(D13,4,2),MID(D13,6,2))</f>
        <v>21710</v>
      </c>
      <c r="G14" s="16" t="s">
        <v>495</v>
      </c>
      <c r="H14" s="17">
        <v>779</v>
      </c>
      <c r="I14" s="18" t="s">
        <v>496</v>
      </c>
      <c r="J14" s="16" t="s">
        <v>497</v>
      </c>
      <c r="K14" s="141" t="s">
        <v>498</v>
      </c>
      <c r="L14" s="14">
        <v>2740615040044</v>
      </c>
      <c r="M14" s="18" t="s">
        <v>499</v>
      </c>
      <c r="N14" s="16" t="s">
        <v>500</v>
      </c>
      <c r="O14" s="109" t="s">
        <v>501</v>
      </c>
      <c r="P14" s="130" t="s">
        <v>504</v>
      </c>
      <c r="Q14" s="98" t="s">
        <v>300</v>
      </c>
      <c r="R14" s="1"/>
      <c r="S14" s="85" t="s">
        <v>502</v>
      </c>
    </row>
    <row r="15" spans="1:19" ht="19.350000000000001" customHeight="1">
      <c r="A15" s="97">
        <v>13</v>
      </c>
      <c r="B15" s="13" t="s">
        <v>209</v>
      </c>
      <c r="C15" s="106" t="s">
        <v>184</v>
      </c>
      <c r="D15" s="139">
        <v>2590513400640</v>
      </c>
      <c r="E15" s="14">
        <v>66</v>
      </c>
      <c r="F15" s="15">
        <v>21683</v>
      </c>
      <c r="G15" s="16" t="s">
        <v>210</v>
      </c>
      <c r="H15" s="17">
        <v>359</v>
      </c>
      <c r="I15" s="18" t="s">
        <v>400</v>
      </c>
      <c r="J15" s="16" t="s">
        <v>272</v>
      </c>
      <c r="K15" s="19" t="s">
        <v>212</v>
      </c>
      <c r="L15" s="14">
        <v>2870604450069</v>
      </c>
      <c r="M15" s="18" t="s">
        <v>213</v>
      </c>
      <c r="N15" s="16" t="s">
        <v>272</v>
      </c>
      <c r="O15" s="109" t="s">
        <v>399</v>
      </c>
      <c r="P15" s="131" t="s">
        <v>505</v>
      </c>
      <c r="Q15" s="98" t="s">
        <v>474</v>
      </c>
      <c r="R15" s="1"/>
      <c r="S15" s="85" t="s">
        <v>281</v>
      </c>
    </row>
    <row r="16" spans="1:19" ht="19.350000000000001" customHeight="1">
      <c r="A16" s="97">
        <v>14</v>
      </c>
      <c r="B16" s="13" t="s">
        <v>104</v>
      </c>
      <c r="C16" s="44" t="s">
        <v>184</v>
      </c>
      <c r="D16" s="20">
        <v>2320302400135</v>
      </c>
      <c r="E16" s="14">
        <f ca="1">DATEDIF(DATE(MID(D15,2,2),MID(D15,4,2),MID(D15,6,2)),TODAY(),"y")</f>
        <v>67</v>
      </c>
      <c r="F16" s="15">
        <f>DATE(IF(LEFT(D15,1)*1&lt;=2,MID(D15,2,2),MID(D15,2,2)+100),MID(D15,4,2),MID(D15,6,2))</f>
        <v>21683</v>
      </c>
      <c r="G16" s="16" t="s">
        <v>20</v>
      </c>
      <c r="H16" s="17">
        <v>103</v>
      </c>
      <c r="I16" s="18" t="s">
        <v>58</v>
      </c>
      <c r="J16" s="16" t="s">
        <v>42</v>
      </c>
      <c r="K16" s="19" t="s">
        <v>214</v>
      </c>
      <c r="L16" s="14">
        <v>1931110410018</v>
      </c>
      <c r="M16" s="18" t="s">
        <v>21</v>
      </c>
      <c r="N16" s="16" t="s">
        <v>42</v>
      </c>
      <c r="O16" s="109" t="s">
        <v>10</v>
      </c>
      <c r="P16" s="130" t="s">
        <v>504</v>
      </c>
      <c r="Q16" s="90" t="s">
        <v>191</v>
      </c>
      <c r="R16" s="1"/>
      <c r="S16" s="85" t="s">
        <v>277</v>
      </c>
    </row>
    <row r="17" spans="1:19" ht="19.350000000000001" customHeight="1">
      <c r="A17" s="97">
        <v>15</v>
      </c>
      <c r="B17" s="13" t="s">
        <v>201</v>
      </c>
      <c r="C17" s="44" t="s">
        <v>296</v>
      </c>
      <c r="D17" s="139">
        <v>1550323400097</v>
      </c>
      <c r="E17" s="56">
        <v>70</v>
      </c>
      <c r="F17" s="57">
        <v>20171</v>
      </c>
      <c r="G17" s="45" t="s">
        <v>198</v>
      </c>
      <c r="H17" s="44">
        <v>1187</v>
      </c>
      <c r="I17" s="45" t="s">
        <v>202</v>
      </c>
      <c r="J17" s="59" t="s">
        <v>373</v>
      </c>
      <c r="K17" s="13" t="s">
        <v>200</v>
      </c>
      <c r="L17" s="39">
        <v>2790412464517</v>
      </c>
      <c r="M17" s="45" t="s">
        <v>199</v>
      </c>
      <c r="N17" s="59" t="s">
        <v>373</v>
      </c>
      <c r="O17" s="113">
        <v>732403958</v>
      </c>
      <c r="P17" s="130" t="s">
        <v>504</v>
      </c>
      <c r="Q17" s="100" t="s">
        <v>300</v>
      </c>
      <c r="R17" s="1"/>
      <c r="S17" s="85" t="s">
        <v>277</v>
      </c>
    </row>
    <row r="18" spans="1:19" ht="19.350000000000001" customHeight="1">
      <c r="A18" s="97">
        <v>16</v>
      </c>
      <c r="B18" s="13" t="s">
        <v>134</v>
      </c>
      <c r="C18" s="54" t="s">
        <v>184</v>
      </c>
      <c r="D18" s="138">
        <v>2350301400807</v>
      </c>
      <c r="E18" s="14">
        <f ca="1">DATEDIF(DATE(MID(D18,2,2),MID(D18,4,2),MID(D18,6,2)),TODAY(),"y")</f>
        <v>91</v>
      </c>
      <c r="F18" s="15">
        <f>DATE(IF(LEFT(D18,1)*1&lt;=2,MID(D18,2,2),MID(D18,2,2)+100),MID(D18,4,2),MID(D18,6,2))</f>
        <v>12844</v>
      </c>
      <c r="G18" s="16" t="s">
        <v>14</v>
      </c>
      <c r="H18" s="17">
        <v>233</v>
      </c>
      <c r="I18" s="18" t="s">
        <v>60</v>
      </c>
      <c r="J18" s="16" t="s">
        <v>35</v>
      </c>
      <c r="K18" s="19" t="s">
        <v>141</v>
      </c>
      <c r="L18" s="14">
        <v>2580122400544</v>
      </c>
      <c r="M18" s="18" t="s">
        <v>15</v>
      </c>
      <c r="N18" s="16" t="s">
        <v>36</v>
      </c>
      <c r="O18" s="110" t="s">
        <v>6</v>
      </c>
      <c r="P18" s="130" t="s">
        <v>504</v>
      </c>
      <c r="Q18" s="100" t="s">
        <v>300</v>
      </c>
      <c r="R18" s="1"/>
      <c r="S18" s="85" t="s">
        <v>282</v>
      </c>
    </row>
    <row r="19" spans="1:19" ht="19.350000000000001" customHeight="1">
      <c r="A19" s="97">
        <v>17</v>
      </c>
      <c r="B19" s="13" t="s">
        <v>509</v>
      </c>
      <c r="C19" s="44" t="s">
        <v>184</v>
      </c>
      <c r="D19" s="20">
        <v>248077400695</v>
      </c>
      <c r="E19" s="14">
        <f ca="1">DATEDIF(DATE(MID(D18,2,2),MID(D18,4,2),MID(D18,6,2)),TODAY(),"y")</f>
        <v>91</v>
      </c>
      <c r="F19" s="15">
        <f>DATE(IF(LEFT(D18,1)*1&lt;=2,MID(D18,2,2),MID(D18,2,2)+100),MID(D18,4,2),MID(D18,6,2))</f>
        <v>12844</v>
      </c>
      <c r="G19" s="16" t="s">
        <v>511</v>
      </c>
      <c r="H19" s="17">
        <v>810</v>
      </c>
      <c r="I19" s="18" t="s">
        <v>512</v>
      </c>
      <c r="J19" s="16" t="s">
        <v>513</v>
      </c>
      <c r="K19" s="19" t="s">
        <v>510</v>
      </c>
      <c r="L19" s="14">
        <v>1731217451529</v>
      </c>
      <c r="M19" s="18" t="s">
        <v>514</v>
      </c>
      <c r="N19" s="16" t="s">
        <v>515</v>
      </c>
      <c r="O19" s="109" t="s">
        <v>516</v>
      </c>
      <c r="P19" s="130" t="s">
        <v>504</v>
      </c>
      <c r="Q19" s="90" t="s">
        <v>526</v>
      </c>
      <c r="R19" s="1"/>
      <c r="S19" s="85" t="s">
        <v>281</v>
      </c>
    </row>
    <row r="20" spans="1:19" ht="19.350000000000001" customHeight="1">
      <c r="A20" s="97">
        <v>18</v>
      </c>
      <c r="B20" s="94" t="s">
        <v>117</v>
      </c>
      <c r="C20" s="54" t="s">
        <v>184</v>
      </c>
      <c r="D20" s="138">
        <v>2390224344241</v>
      </c>
      <c r="E20" s="14">
        <f ca="1">DATEDIF(DATE(MID(D20,2,2),MID(D20,4,2),MID(D20,6,2)),TODAY(),"y")</f>
        <v>87</v>
      </c>
      <c r="F20" s="15">
        <f>DATE(IF(LEFT(D20,1)*1&lt;=2,MID(D20,2,2),MID(D20,2,2)+100),MID(D20,4,2),MID(D20,6,2))</f>
        <v>14300</v>
      </c>
      <c r="G20" s="16" t="s">
        <v>24</v>
      </c>
      <c r="H20" s="17">
        <v>113</v>
      </c>
      <c r="I20" s="18" t="s">
        <v>58</v>
      </c>
      <c r="J20" s="21" t="s">
        <v>65</v>
      </c>
      <c r="K20" s="19" t="s">
        <v>142</v>
      </c>
      <c r="L20" s="14">
        <v>1820222460064</v>
      </c>
      <c r="M20" s="18" t="s">
        <v>25</v>
      </c>
      <c r="N20" s="21" t="s">
        <v>65</v>
      </c>
      <c r="O20" s="109" t="s">
        <v>54</v>
      </c>
      <c r="P20" s="130" t="s">
        <v>504</v>
      </c>
      <c r="Q20" s="90" t="s">
        <v>525</v>
      </c>
      <c r="R20" s="1"/>
      <c r="S20" s="85" t="s">
        <v>283</v>
      </c>
    </row>
    <row r="21" spans="1:19" ht="19.350000000000001" customHeight="1">
      <c r="A21" s="97">
        <v>19</v>
      </c>
      <c r="B21" s="143" t="s">
        <v>531</v>
      </c>
      <c r="C21" s="106" t="s">
        <v>186</v>
      </c>
      <c r="D21" s="144">
        <v>2410809400421</v>
      </c>
      <c r="E21" s="14">
        <f ca="1">DATEDIF(DATE(MID(D21,2,2),MID(D21,4,2),MID(D21,6,2)),TODAY(),"y")</f>
        <v>84</v>
      </c>
      <c r="F21" s="145">
        <f>DATE(IF(LEFT(D21,1)*1&lt;=2,MID(D21,2,2),MID(D21,2,2)+100),MID(D21,4,2),MID(D21,6,2))</f>
        <v>15197</v>
      </c>
      <c r="G21" s="45" t="s">
        <v>532</v>
      </c>
      <c r="H21" s="44">
        <v>344</v>
      </c>
      <c r="I21" s="146" t="s">
        <v>533</v>
      </c>
      <c r="J21" s="149" t="s">
        <v>534</v>
      </c>
      <c r="K21" s="19" t="s">
        <v>535</v>
      </c>
      <c r="L21" s="14">
        <v>1740930451515</v>
      </c>
      <c r="M21" s="18" t="s">
        <v>536</v>
      </c>
      <c r="N21" s="16" t="s">
        <v>537</v>
      </c>
      <c r="O21" s="109" t="s">
        <v>538</v>
      </c>
      <c r="P21" s="147" t="s">
        <v>539</v>
      </c>
      <c r="Q21" s="148" t="s">
        <v>300</v>
      </c>
      <c r="R21" s="1"/>
      <c r="S21" s="85" t="s">
        <v>281</v>
      </c>
    </row>
    <row r="22" spans="1:19" ht="19.350000000000001" customHeight="1">
      <c r="A22" s="97">
        <v>20</v>
      </c>
      <c r="B22" s="13" t="s">
        <v>119</v>
      </c>
      <c r="C22" s="17" t="s">
        <v>185</v>
      </c>
      <c r="D22" s="139">
        <v>2410707390036</v>
      </c>
      <c r="E22" s="14">
        <f ca="1">DATEDIF(DATE(MID(D22,2,2),MID(D22,4,2),MID(D22,6,2)),TODAY(),"y")</f>
        <v>85</v>
      </c>
      <c r="F22" s="15">
        <f>DATE(IF(LEFT(D22,1)*1&lt;=2,MID(D22,2,2),MID(D22,2,2)+100),MID(D22,4,2),MID(D22,6,2))</f>
        <v>15164</v>
      </c>
      <c r="G22" s="16" t="s">
        <v>45</v>
      </c>
      <c r="H22" s="17">
        <v>163</v>
      </c>
      <c r="I22" s="18" t="s">
        <v>61</v>
      </c>
      <c r="J22" s="16" t="s">
        <v>66</v>
      </c>
      <c r="K22" s="19" t="s">
        <v>143</v>
      </c>
      <c r="L22" s="14">
        <v>2680703390019</v>
      </c>
      <c r="M22" s="45" t="s">
        <v>28</v>
      </c>
      <c r="N22" s="16" t="s">
        <v>71</v>
      </c>
      <c r="O22" s="109" t="s">
        <v>7</v>
      </c>
      <c r="P22" s="130" t="s">
        <v>504</v>
      </c>
      <c r="Q22" s="90" t="s">
        <v>192</v>
      </c>
      <c r="R22" s="1"/>
      <c r="S22" s="85" t="s">
        <v>284</v>
      </c>
    </row>
    <row r="23" spans="1:19" ht="19.350000000000001" customHeight="1">
      <c r="A23" s="97">
        <v>21</v>
      </c>
      <c r="B23" s="13" t="s">
        <v>120</v>
      </c>
      <c r="C23" s="58" t="s">
        <v>186</v>
      </c>
      <c r="D23" s="20">
        <v>1500712090057</v>
      </c>
      <c r="E23" s="14">
        <f ca="1">DATEDIF(DATE(MID(D23,2,2),MID(D23,4,2),MID(D23,6,2)),TODAY(),"y")</f>
        <v>76</v>
      </c>
      <c r="F23" s="15">
        <f>DATE(IF(LEFT(D23,1)*1&lt;=2,MID(D23,2,2),MID(D23,2,2)+100),MID(D23,4,2),MID(D23,6,2))</f>
        <v>18456</v>
      </c>
      <c r="G23" s="16" t="s">
        <v>29</v>
      </c>
      <c r="H23" s="17">
        <v>133</v>
      </c>
      <c r="I23" s="18" t="s">
        <v>58</v>
      </c>
      <c r="J23" s="16" t="s">
        <v>68</v>
      </c>
      <c r="K23" s="19" t="s">
        <v>145</v>
      </c>
      <c r="L23" s="14">
        <v>2780713090092</v>
      </c>
      <c r="M23" s="18" t="s">
        <v>30</v>
      </c>
      <c r="N23" s="16" t="s">
        <v>37</v>
      </c>
      <c r="O23" s="109" t="s">
        <v>376</v>
      </c>
      <c r="P23" s="130" t="s">
        <v>504</v>
      </c>
      <c r="Q23" s="90" t="s">
        <v>301</v>
      </c>
      <c r="R23" s="19" t="s">
        <v>145</v>
      </c>
      <c r="S23" s="87" t="s">
        <v>285</v>
      </c>
    </row>
    <row r="24" spans="1:19" ht="19.350000000000001" customHeight="1">
      <c r="A24" s="97">
        <v>22</v>
      </c>
      <c r="B24" s="13" t="s">
        <v>108</v>
      </c>
      <c r="C24" s="44" t="s">
        <v>296</v>
      </c>
      <c r="D24" s="14">
        <v>2391118400437</v>
      </c>
      <c r="E24" s="14">
        <f t="shared" ref="E24:E37" ca="1" si="2">DATEDIF(DATE(MID(D23,2,2),MID(D23,4,2),MID(D23,6,2)),TODAY(),"y")</f>
        <v>76</v>
      </c>
      <c r="F24" s="15">
        <f t="shared" ref="F24:F37" si="3">DATE(IF(LEFT(D23,1)*1&lt;=2,MID(D23,2,2),MID(D23,2,2)+100),MID(D23,4,2),MID(D23,6,2))</f>
        <v>18456</v>
      </c>
      <c r="G24" s="16" t="s">
        <v>109</v>
      </c>
      <c r="H24" s="17">
        <v>618</v>
      </c>
      <c r="I24" s="18" t="s">
        <v>110</v>
      </c>
      <c r="J24" s="16" t="s">
        <v>111</v>
      </c>
      <c r="K24" s="19" t="s">
        <v>112</v>
      </c>
      <c r="L24" s="14">
        <v>1770206472510</v>
      </c>
      <c r="M24" s="18" t="s">
        <v>127</v>
      </c>
      <c r="N24" s="16" t="s">
        <v>113</v>
      </c>
      <c r="O24" s="109" t="s">
        <v>114</v>
      </c>
      <c r="P24" s="130" t="s">
        <v>504</v>
      </c>
      <c r="Q24" s="92" t="s">
        <v>193</v>
      </c>
      <c r="R24" s="1"/>
      <c r="S24" s="85" t="s">
        <v>278</v>
      </c>
    </row>
    <row r="25" spans="1:19" ht="19.350000000000001" customHeight="1">
      <c r="A25" s="97">
        <v>23</v>
      </c>
      <c r="B25" s="13" t="s">
        <v>518</v>
      </c>
      <c r="C25" s="44" t="s">
        <v>184</v>
      </c>
      <c r="D25" s="20">
        <v>2550917400563</v>
      </c>
      <c r="E25" s="14">
        <f t="shared" ca="1" si="2"/>
        <v>86</v>
      </c>
      <c r="F25" s="15">
        <f t="shared" si="3"/>
        <v>14567</v>
      </c>
      <c r="G25" s="16" t="s">
        <v>519</v>
      </c>
      <c r="H25" s="17">
        <v>872</v>
      </c>
      <c r="I25" s="18" t="s">
        <v>517</v>
      </c>
      <c r="J25" s="16" t="s">
        <v>520</v>
      </c>
      <c r="K25" s="19" t="s">
        <v>521</v>
      </c>
      <c r="L25" s="14">
        <v>2531015400412</v>
      </c>
      <c r="M25" s="18" t="s">
        <v>522</v>
      </c>
      <c r="N25" s="16" t="s">
        <v>523</v>
      </c>
      <c r="O25" s="109" t="s">
        <v>524</v>
      </c>
      <c r="P25" s="130" t="s">
        <v>504</v>
      </c>
      <c r="Q25" s="92" t="s">
        <v>528</v>
      </c>
      <c r="R25" s="1"/>
      <c r="S25" s="142" t="s">
        <v>278</v>
      </c>
    </row>
    <row r="26" spans="1:19" ht="19.350000000000001" customHeight="1">
      <c r="A26" s="97">
        <v>24</v>
      </c>
      <c r="B26" s="37" t="s">
        <v>203</v>
      </c>
      <c r="C26" s="44" t="s">
        <v>184</v>
      </c>
      <c r="D26" s="38">
        <v>1491003400156</v>
      </c>
      <c r="E26" s="14">
        <f t="shared" ca="1" si="2"/>
        <v>70</v>
      </c>
      <c r="F26" s="15">
        <f t="shared" si="3"/>
        <v>20349</v>
      </c>
      <c r="G26" s="41" t="s">
        <v>204</v>
      </c>
      <c r="H26" s="48">
        <v>1323</v>
      </c>
      <c r="I26" s="36" t="s">
        <v>206</v>
      </c>
      <c r="J26" s="41" t="s">
        <v>205</v>
      </c>
      <c r="K26" s="42" t="s">
        <v>207</v>
      </c>
      <c r="L26" s="39">
        <v>2860920410021</v>
      </c>
      <c r="M26" s="39" t="s">
        <v>208</v>
      </c>
      <c r="N26" s="61" t="s">
        <v>205</v>
      </c>
      <c r="O26" s="36">
        <v>770466594</v>
      </c>
      <c r="P26" s="130" t="s">
        <v>504</v>
      </c>
      <c r="Q26" s="100" t="s">
        <v>527</v>
      </c>
      <c r="R26" s="1"/>
      <c r="S26" s="85" t="s">
        <v>277</v>
      </c>
    </row>
    <row r="27" spans="1:19" ht="19.350000000000001" customHeight="1">
      <c r="A27" s="97">
        <v>25</v>
      </c>
      <c r="B27" s="13" t="s">
        <v>133</v>
      </c>
      <c r="C27" s="55" t="s">
        <v>184</v>
      </c>
      <c r="D27" s="20">
        <v>2450603400383</v>
      </c>
      <c r="E27" s="14">
        <f t="shared" ca="1" si="2"/>
        <v>76</v>
      </c>
      <c r="F27" s="15">
        <f t="shared" si="3"/>
        <v>18174</v>
      </c>
      <c r="G27" s="16" t="s">
        <v>18</v>
      </c>
      <c r="H27" s="17">
        <v>53</v>
      </c>
      <c r="I27" s="18" t="s">
        <v>62</v>
      </c>
      <c r="J27" s="16" t="s">
        <v>41</v>
      </c>
      <c r="K27" s="19" t="s">
        <v>146</v>
      </c>
      <c r="L27" s="14">
        <v>1770506443011</v>
      </c>
      <c r="M27" s="18" t="s">
        <v>19</v>
      </c>
      <c r="N27" s="16" t="s">
        <v>32</v>
      </c>
      <c r="O27" s="109" t="s">
        <v>12</v>
      </c>
      <c r="P27" s="130" t="s">
        <v>504</v>
      </c>
      <c r="Q27" s="92" t="s">
        <v>264</v>
      </c>
      <c r="R27" s="1"/>
      <c r="S27" s="85" t="s">
        <v>282</v>
      </c>
    </row>
    <row r="28" spans="1:19" ht="19.350000000000001" customHeight="1">
      <c r="A28" s="97">
        <v>26</v>
      </c>
      <c r="B28" s="13" t="s">
        <v>304</v>
      </c>
      <c r="C28" s="44" t="s">
        <v>186</v>
      </c>
      <c r="D28" s="14">
        <v>2521218341694</v>
      </c>
      <c r="E28" s="14">
        <f t="shared" ca="1" si="2"/>
        <v>81</v>
      </c>
      <c r="F28" s="15">
        <f t="shared" si="3"/>
        <v>16591</v>
      </c>
      <c r="G28" s="16" t="s">
        <v>305</v>
      </c>
      <c r="H28" s="17">
        <v>1944</v>
      </c>
      <c r="I28" s="18" t="s">
        <v>312</v>
      </c>
      <c r="J28" s="61" t="s">
        <v>306</v>
      </c>
      <c r="K28" s="19" t="s">
        <v>307</v>
      </c>
      <c r="L28" s="14">
        <v>2820412340931</v>
      </c>
      <c r="M28" s="18" t="s">
        <v>308</v>
      </c>
      <c r="N28" s="16" t="s">
        <v>309</v>
      </c>
      <c r="O28" s="109" t="s">
        <v>310</v>
      </c>
      <c r="P28" s="131" t="s">
        <v>505</v>
      </c>
      <c r="Q28" s="100" t="s">
        <v>300</v>
      </c>
      <c r="R28" s="1"/>
      <c r="S28" s="85" t="s">
        <v>311</v>
      </c>
    </row>
    <row r="29" spans="1:19" ht="19.350000000000001" customHeight="1">
      <c r="A29" s="97">
        <v>27</v>
      </c>
      <c r="B29" s="13" t="s">
        <v>396</v>
      </c>
      <c r="C29" s="44" t="s">
        <v>186</v>
      </c>
      <c r="D29" s="14">
        <v>2460829131263</v>
      </c>
      <c r="E29" s="14">
        <f t="shared" ca="1" si="2"/>
        <v>73</v>
      </c>
      <c r="F29" s="15">
        <f t="shared" si="3"/>
        <v>19346</v>
      </c>
      <c r="G29" s="16" t="s">
        <v>397</v>
      </c>
      <c r="H29" s="17">
        <v>292</v>
      </c>
      <c r="I29" s="18" t="s">
        <v>398</v>
      </c>
      <c r="J29" s="16" t="s">
        <v>391</v>
      </c>
      <c r="K29" s="19" t="s">
        <v>392</v>
      </c>
      <c r="L29" s="14">
        <v>2711221131226</v>
      </c>
      <c r="M29" s="18" t="s">
        <v>393</v>
      </c>
      <c r="N29" s="16" t="s">
        <v>394</v>
      </c>
      <c r="O29" s="109" t="s">
        <v>395</v>
      </c>
      <c r="P29" s="130" t="s">
        <v>504</v>
      </c>
      <c r="Q29" s="100" t="s">
        <v>300</v>
      </c>
      <c r="R29" s="1"/>
      <c r="S29" s="85" t="s">
        <v>287</v>
      </c>
    </row>
    <row r="30" spans="1:19" ht="19.350000000000001" customHeight="1">
      <c r="A30" s="97">
        <v>28</v>
      </c>
      <c r="B30" s="13" t="s">
        <v>388</v>
      </c>
      <c r="C30" s="44" t="s">
        <v>296</v>
      </c>
      <c r="D30" s="14">
        <v>1400615131234</v>
      </c>
      <c r="E30" s="14">
        <f t="shared" ca="1" si="2"/>
        <v>79</v>
      </c>
      <c r="F30" s="15">
        <f t="shared" si="3"/>
        <v>17043</v>
      </c>
      <c r="G30" s="16" t="s">
        <v>389</v>
      </c>
      <c r="H30" s="17">
        <v>278</v>
      </c>
      <c r="I30" s="18" t="s">
        <v>390</v>
      </c>
      <c r="J30" s="16" t="s">
        <v>391</v>
      </c>
      <c r="K30" s="19" t="s">
        <v>392</v>
      </c>
      <c r="L30" s="14">
        <v>2711221131226</v>
      </c>
      <c r="M30" s="18" t="s">
        <v>393</v>
      </c>
      <c r="N30" s="16" t="s">
        <v>394</v>
      </c>
      <c r="O30" s="109" t="s">
        <v>395</v>
      </c>
      <c r="P30" s="130" t="s">
        <v>504</v>
      </c>
      <c r="Q30" s="100" t="s">
        <v>300</v>
      </c>
      <c r="R30" s="1"/>
      <c r="S30" s="85" t="s">
        <v>287</v>
      </c>
    </row>
    <row r="31" spans="1:19" ht="19.350000000000001" customHeight="1">
      <c r="A31" s="97">
        <v>29</v>
      </c>
      <c r="B31" s="13" t="s">
        <v>116</v>
      </c>
      <c r="C31" s="44" t="s">
        <v>184</v>
      </c>
      <c r="D31" s="14">
        <v>2490325400509</v>
      </c>
      <c r="E31" s="14">
        <f t="shared" ca="1" si="2"/>
        <v>86</v>
      </c>
      <c r="F31" s="15">
        <f t="shared" si="3"/>
        <v>14777</v>
      </c>
      <c r="G31" s="16" t="s">
        <v>78</v>
      </c>
      <c r="H31" s="17">
        <v>828</v>
      </c>
      <c r="I31" s="18" t="s">
        <v>79</v>
      </c>
      <c r="J31" s="16" t="s">
        <v>80</v>
      </c>
      <c r="K31" s="19" t="s">
        <v>147</v>
      </c>
      <c r="L31" s="14">
        <v>2680711441510</v>
      </c>
      <c r="M31" s="18" t="s">
        <v>81</v>
      </c>
      <c r="N31" s="16" t="s">
        <v>82</v>
      </c>
      <c r="O31" s="14">
        <v>33666639742</v>
      </c>
      <c r="P31" s="130" t="s">
        <v>504</v>
      </c>
      <c r="Q31" s="92" t="s">
        <v>315</v>
      </c>
      <c r="R31" s="1"/>
      <c r="S31" s="85" t="s">
        <v>279</v>
      </c>
    </row>
    <row r="32" spans="1:19" ht="19.350000000000001" customHeight="1">
      <c r="A32" s="97">
        <v>30</v>
      </c>
      <c r="B32" s="13" t="s">
        <v>131</v>
      </c>
      <c r="C32" s="44" t="s">
        <v>184</v>
      </c>
      <c r="D32" s="20">
        <v>1390104400181</v>
      </c>
      <c r="E32" s="14">
        <f t="shared" ca="1" si="2"/>
        <v>77</v>
      </c>
      <c r="F32" s="15">
        <f t="shared" si="3"/>
        <v>17982</v>
      </c>
      <c r="G32" s="16" t="s">
        <v>16</v>
      </c>
      <c r="H32" s="17">
        <v>203</v>
      </c>
      <c r="I32" s="18" t="s">
        <v>63</v>
      </c>
      <c r="J32" s="16" t="s">
        <v>69</v>
      </c>
      <c r="K32" s="19" t="s">
        <v>148</v>
      </c>
      <c r="L32" s="14">
        <v>1690613521641</v>
      </c>
      <c r="M32" s="18" t="s">
        <v>17</v>
      </c>
      <c r="N32" s="16" t="s">
        <v>69</v>
      </c>
      <c r="O32" s="109" t="s">
        <v>13</v>
      </c>
      <c r="P32" s="130" t="s">
        <v>504</v>
      </c>
      <c r="Q32" s="90" t="s">
        <v>194</v>
      </c>
      <c r="R32" s="1"/>
      <c r="S32" s="85" t="s">
        <v>286</v>
      </c>
    </row>
    <row r="33" spans="1:19" ht="19.350000000000001" customHeight="1">
      <c r="A33" s="97">
        <v>31</v>
      </c>
      <c r="B33" s="13" t="s">
        <v>485</v>
      </c>
      <c r="C33" s="44" t="s">
        <v>184</v>
      </c>
      <c r="D33" s="20">
        <v>2601230400080</v>
      </c>
      <c r="E33" s="14">
        <f t="shared" ca="1" si="2"/>
        <v>87</v>
      </c>
      <c r="F33" s="15">
        <f t="shared" si="3"/>
        <v>14249</v>
      </c>
      <c r="G33" s="16" t="s">
        <v>487</v>
      </c>
      <c r="H33" s="17">
        <v>762</v>
      </c>
      <c r="I33" s="18" t="s">
        <v>486</v>
      </c>
      <c r="J33" s="16" t="s">
        <v>488</v>
      </c>
      <c r="K33" s="19" t="s">
        <v>489</v>
      </c>
      <c r="L33" s="14">
        <v>2930214410048</v>
      </c>
      <c r="M33" s="18" t="s">
        <v>490</v>
      </c>
      <c r="N33" s="16" t="s">
        <v>491</v>
      </c>
      <c r="O33" s="109" t="s">
        <v>492</v>
      </c>
      <c r="P33" s="131" t="s">
        <v>505</v>
      </c>
      <c r="Q33" s="90"/>
      <c r="R33" s="1"/>
      <c r="S33" s="85" t="s">
        <v>493</v>
      </c>
    </row>
    <row r="34" spans="1:19" ht="19.350000000000001" customHeight="1">
      <c r="A34" s="97">
        <v>32</v>
      </c>
      <c r="B34" s="13" t="s">
        <v>463</v>
      </c>
      <c r="C34" s="44" t="s">
        <v>184</v>
      </c>
      <c r="D34" s="14">
        <v>2340618400021</v>
      </c>
      <c r="E34" s="14">
        <f t="shared" ca="1" si="2"/>
        <v>65</v>
      </c>
      <c r="F34" s="15">
        <f t="shared" si="3"/>
        <v>22280</v>
      </c>
      <c r="G34" s="16" t="s">
        <v>464</v>
      </c>
      <c r="H34" s="17">
        <v>600</v>
      </c>
      <c r="I34" s="18" t="s">
        <v>458</v>
      </c>
      <c r="J34" s="16" t="s">
        <v>465</v>
      </c>
      <c r="K34" s="19" t="s">
        <v>466</v>
      </c>
      <c r="L34" s="14">
        <v>1670725461562</v>
      </c>
      <c r="M34" s="18" t="s">
        <v>467</v>
      </c>
      <c r="N34" s="16" t="s">
        <v>468</v>
      </c>
      <c r="O34" s="109" t="s">
        <v>469</v>
      </c>
      <c r="P34" s="130" t="s">
        <v>504</v>
      </c>
      <c r="Q34" s="98" t="s">
        <v>474</v>
      </c>
      <c r="R34" s="1"/>
      <c r="S34" s="85" t="s">
        <v>277</v>
      </c>
    </row>
    <row r="35" spans="1:19" ht="19.350000000000001" customHeight="1">
      <c r="A35" s="97">
        <v>33</v>
      </c>
      <c r="B35" s="13" t="s">
        <v>107</v>
      </c>
      <c r="C35" s="44" t="s">
        <v>184</v>
      </c>
      <c r="D35" s="20">
        <v>2341102134026</v>
      </c>
      <c r="E35" s="14">
        <f t="shared" ca="1" si="2"/>
        <v>92</v>
      </c>
      <c r="F35" s="15">
        <f t="shared" si="3"/>
        <v>12588</v>
      </c>
      <c r="G35" s="16" t="s">
        <v>43</v>
      </c>
      <c r="H35" s="17">
        <v>143</v>
      </c>
      <c r="I35" s="18" t="s">
        <v>61</v>
      </c>
      <c r="J35" s="16" t="s">
        <v>70</v>
      </c>
      <c r="K35" s="19" t="s">
        <v>149</v>
      </c>
      <c r="L35" s="14">
        <v>2580430400588</v>
      </c>
      <c r="M35" s="18" t="s">
        <v>55</v>
      </c>
      <c r="N35" s="16" t="s">
        <v>44</v>
      </c>
      <c r="O35" s="109" t="s">
        <v>11</v>
      </c>
      <c r="P35" s="131" t="s">
        <v>505</v>
      </c>
      <c r="Q35" s="100" t="s">
        <v>300</v>
      </c>
      <c r="R35" s="1"/>
      <c r="S35" s="85" t="s">
        <v>283</v>
      </c>
    </row>
    <row r="36" spans="1:19" ht="19.350000000000001" customHeight="1">
      <c r="A36" s="97">
        <v>34</v>
      </c>
      <c r="B36" s="13" t="s">
        <v>118</v>
      </c>
      <c r="C36" s="44" t="s">
        <v>186</v>
      </c>
      <c r="D36" s="20">
        <v>1480219400228</v>
      </c>
      <c r="E36" s="14">
        <f t="shared" ca="1" si="2"/>
        <v>91</v>
      </c>
      <c r="F36" s="15">
        <f t="shared" si="3"/>
        <v>12725</v>
      </c>
      <c r="G36" s="16" t="s">
        <v>22</v>
      </c>
      <c r="H36" s="17">
        <v>313</v>
      </c>
      <c r="I36" s="18" t="s">
        <v>64</v>
      </c>
      <c r="J36" s="16" t="s">
        <v>38</v>
      </c>
      <c r="K36" s="19" t="s">
        <v>150</v>
      </c>
      <c r="L36" s="14">
        <v>2610113400364</v>
      </c>
      <c r="M36" s="18" t="s">
        <v>23</v>
      </c>
      <c r="N36" s="16" t="s">
        <v>39</v>
      </c>
      <c r="O36" s="109" t="s">
        <v>8</v>
      </c>
      <c r="P36" s="130" t="s">
        <v>504</v>
      </c>
      <c r="Q36" s="90" t="s">
        <v>303</v>
      </c>
      <c r="R36" s="1"/>
      <c r="S36" s="85" t="s">
        <v>287</v>
      </c>
    </row>
    <row r="37" spans="1:19" ht="19.350000000000001" customHeight="1">
      <c r="A37" s="97">
        <v>35</v>
      </c>
      <c r="B37" s="13" t="s">
        <v>135</v>
      </c>
      <c r="C37" s="44" t="s">
        <v>296</v>
      </c>
      <c r="D37" s="20">
        <v>2400226400483</v>
      </c>
      <c r="E37" s="14">
        <f t="shared" ca="1" si="2"/>
        <v>78</v>
      </c>
      <c r="F37" s="15">
        <f t="shared" si="3"/>
        <v>17582</v>
      </c>
      <c r="G37" s="16" t="s">
        <v>95</v>
      </c>
      <c r="H37" s="17">
        <v>425</v>
      </c>
      <c r="I37" s="18" t="s">
        <v>96</v>
      </c>
      <c r="J37" s="16" t="s">
        <v>94</v>
      </c>
      <c r="K37" s="19" t="s">
        <v>151</v>
      </c>
      <c r="L37" s="14">
        <v>1640121400092</v>
      </c>
      <c r="M37" s="18" t="s">
        <v>97</v>
      </c>
      <c r="N37" s="16" t="s">
        <v>94</v>
      </c>
      <c r="O37" s="109" t="s">
        <v>98</v>
      </c>
      <c r="P37" s="130" t="s">
        <v>504</v>
      </c>
      <c r="Q37" s="90" t="s">
        <v>196</v>
      </c>
      <c r="R37" s="1"/>
      <c r="S37" s="85" t="s">
        <v>288</v>
      </c>
    </row>
    <row r="38" spans="1:19" ht="19.350000000000001" customHeight="1">
      <c r="A38" s="114"/>
    </row>
    <row r="39" spans="1:19" ht="19.350000000000001" customHeight="1">
      <c r="A39" s="84"/>
      <c r="B39" s="73" t="s">
        <v>223</v>
      </c>
      <c r="C39" s="74"/>
      <c r="D39" s="75"/>
      <c r="E39" s="75"/>
      <c r="F39" s="76"/>
      <c r="G39" s="77"/>
      <c r="H39" s="78"/>
      <c r="I39" s="79"/>
      <c r="J39" s="77"/>
      <c r="K39" s="80"/>
      <c r="L39" s="65"/>
      <c r="M39" s="79"/>
      <c r="N39" s="81"/>
      <c r="O39" s="82"/>
      <c r="P39" s="77"/>
      <c r="Q39" s="83"/>
      <c r="R39" s="72"/>
      <c r="S39" s="72"/>
    </row>
    <row r="40" spans="1:19" ht="19.350000000000001" customHeight="1">
      <c r="A40" s="84">
        <v>36</v>
      </c>
      <c r="B40" s="62" t="s">
        <v>216</v>
      </c>
      <c r="C40" s="63" t="s">
        <v>186</v>
      </c>
      <c r="D40" s="64">
        <v>2680616370022</v>
      </c>
      <c r="E40" s="65">
        <f ca="1">DATEDIF(DATE(MID(D40,2,2),MID(D40,4,2),MID(D40,6,2)),TODAY(),"y")</f>
        <v>58</v>
      </c>
      <c r="F40" s="66">
        <f>DATE(IF(LEFT(D40,1)*1&lt;=2,MID(D40,2,2),MID(D40,2,2)+100),MID(D40,4,2),MID(D40,6,2))</f>
        <v>25005</v>
      </c>
      <c r="G40" s="67" t="s">
        <v>217</v>
      </c>
      <c r="H40" s="68">
        <v>1572</v>
      </c>
      <c r="I40" s="69" t="s">
        <v>215</v>
      </c>
      <c r="J40" s="67" t="s">
        <v>218</v>
      </c>
      <c r="K40" s="70" t="s">
        <v>219</v>
      </c>
      <c r="L40" s="65">
        <v>2950818250012</v>
      </c>
      <c r="M40" s="65" t="s">
        <v>220</v>
      </c>
      <c r="N40" s="67" t="s">
        <v>221</v>
      </c>
      <c r="O40" s="71" t="s">
        <v>222</v>
      </c>
      <c r="P40" s="132" t="s">
        <v>407</v>
      </c>
      <c r="Q40" s="99" t="s">
        <v>302</v>
      </c>
      <c r="R40" s="72"/>
      <c r="S40" s="93" t="s">
        <v>289</v>
      </c>
    </row>
    <row r="41" spans="1:19" ht="19.350000000000001" customHeight="1">
      <c r="A41" s="22"/>
      <c r="B41" s="37"/>
      <c r="C41" s="55"/>
      <c r="D41" s="38"/>
      <c r="E41" s="14"/>
      <c r="F41" s="15"/>
      <c r="G41" s="41"/>
      <c r="H41" s="48"/>
      <c r="I41" s="36"/>
      <c r="J41" s="41"/>
      <c r="K41" s="42"/>
      <c r="L41" s="39"/>
      <c r="M41" s="39"/>
      <c r="N41" s="49"/>
      <c r="O41" s="60"/>
      <c r="P41" s="41"/>
      <c r="Q41" s="16"/>
      <c r="R41" s="1"/>
    </row>
    <row r="42" spans="1:19" ht="19.350000000000001" customHeight="1">
      <c r="A42" s="22"/>
      <c r="B42" s="37"/>
      <c r="C42" s="55"/>
      <c r="D42" s="38"/>
      <c r="E42" s="14"/>
      <c r="F42" s="15"/>
      <c r="G42" s="41"/>
      <c r="H42" s="48"/>
      <c r="I42" s="36"/>
      <c r="J42" s="41"/>
      <c r="K42" s="42"/>
      <c r="L42" s="39"/>
      <c r="M42" s="39"/>
      <c r="N42" s="49"/>
      <c r="O42" s="60"/>
      <c r="P42" s="41"/>
      <c r="Q42" s="16"/>
      <c r="R42" s="1"/>
    </row>
    <row r="43" spans="1:19" ht="19.350000000000001" customHeight="1">
      <c r="A43" s="22"/>
      <c r="B43" s="13" t="s">
        <v>46</v>
      </c>
      <c r="C43" s="13"/>
      <c r="D43" s="38"/>
      <c r="E43" s="39"/>
      <c r="F43" s="40"/>
      <c r="G43" s="41"/>
      <c r="H43" s="48"/>
      <c r="I43" s="36"/>
      <c r="J43" s="41"/>
      <c r="K43" s="42"/>
      <c r="L43" s="43"/>
      <c r="M43" s="39"/>
      <c r="N43" s="49"/>
      <c r="O43" s="50"/>
      <c r="P43" s="41"/>
      <c r="Q43" s="16"/>
      <c r="R43" s="1"/>
    </row>
    <row r="44" spans="1:19" ht="19.350000000000001" customHeight="1">
      <c r="A44" s="115" t="s">
        <v>83</v>
      </c>
      <c r="B44" s="29" t="s">
        <v>0</v>
      </c>
      <c r="C44" s="29"/>
      <c r="D44" s="30" t="s">
        <v>1</v>
      </c>
      <c r="E44" s="31" t="s">
        <v>2</v>
      </c>
      <c r="F44" s="32" t="s">
        <v>3</v>
      </c>
      <c r="G44" s="33" t="s">
        <v>33</v>
      </c>
      <c r="H44" s="33"/>
      <c r="I44" s="33" t="s">
        <v>53</v>
      </c>
      <c r="J44" s="33" t="s">
        <v>4</v>
      </c>
      <c r="K44" s="33" t="s">
        <v>0</v>
      </c>
      <c r="L44" s="34" t="s">
        <v>1</v>
      </c>
      <c r="M44" s="33" t="s">
        <v>33</v>
      </c>
      <c r="N44" s="46" t="s">
        <v>4</v>
      </c>
      <c r="O44" s="47" t="s">
        <v>34</v>
      </c>
      <c r="P44" s="33" t="s">
        <v>50</v>
      </c>
      <c r="Q44" s="33" t="s">
        <v>51</v>
      </c>
    </row>
    <row r="45" spans="1:19" ht="19.350000000000001" customHeight="1">
      <c r="A45" s="28"/>
      <c r="B45" s="29"/>
      <c r="C45" s="29"/>
      <c r="D45" s="30"/>
      <c r="E45" s="31"/>
      <c r="F45" s="32"/>
      <c r="G45" s="33"/>
      <c r="H45" s="33"/>
      <c r="I45" s="33"/>
      <c r="J45" s="33"/>
      <c r="K45" s="33"/>
      <c r="L45" s="34"/>
      <c r="M45" s="33"/>
      <c r="N45" s="33"/>
      <c r="O45" s="47"/>
      <c r="P45" s="35"/>
      <c r="Q45" s="35"/>
    </row>
    <row r="46" spans="1:19" ht="19.350000000000001" customHeight="1">
      <c r="A46" s="17">
        <v>1</v>
      </c>
      <c r="B46" s="13" t="s">
        <v>168</v>
      </c>
      <c r="C46" s="44" t="s">
        <v>184</v>
      </c>
      <c r="D46" s="20">
        <v>2410625400651</v>
      </c>
      <c r="E46" s="14">
        <f t="shared" ref="E46:E47" ca="1" si="4">DATEDIF(DATE(MID(D46,2,2),MID(D46,4,2),MID(D46,6,2)),TODAY(),"y")</f>
        <v>85</v>
      </c>
      <c r="F46" s="15">
        <f t="shared" ref="F46:F47" si="5">DATE(IF(LEFT(D46,1)*1&lt;=2,MID(D46,2,2),MID(D46,2,2)+100),MID(D46,4,2),MID(D46,6,2))</f>
        <v>15152</v>
      </c>
      <c r="G46" s="16" t="s">
        <v>171</v>
      </c>
      <c r="H46" s="17">
        <v>1017</v>
      </c>
      <c r="I46" s="18" t="s">
        <v>172</v>
      </c>
      <c r="J46" s="16" t="s">
        <v>170</v>
      </c>
      <c r="K46" s="19" t="s">
        <v>173</v>
      </c>
      <c r="L46" s="14">
        <v>1610515400258</v>
      </c>
      <c r="M46" s="18" t="s">
        <v>174</v>
      </c>
      <c r="N46" s="16" t="s">
        <v>170</v>
      </c>
      <c r="O46" s="113">
        <v>769294358</v>
      </c>
      <c r="P46" s="18" t="s">
        <v>313</v>
      </c>
      <c r="Q46" s="16" t="s">
        <v>314</v>
      </c>
    </row>
    <row r="47" spans="1:19" ht="19.350000000000001" customHeight="1">
      <c r="A47" s="17">
        <v>2</v>
      </c>
      <c r="B47" s="13" t="s">
        <v>250</v>
      </c>
      <c r="C47" s="44" t="s">
        <v>186</v>
      </c>
      <c r="D47" s="14">
        <v>2550314510039</v>
      </c>
      <c r="E47" s="14">
        <f t="shared" ca="1" si="4"/>
        <v>71</v>
      </c>
      <c r="F47" s="15">
        <f t="shared" si="5"/>
        <v>20162</v>
      </c>
      <c r="G47" s="16" t="s">
        <v>251</v>
      </c>
      <c r="H47" s="17">
        <v>1604</v>
      </c>
      <c r="I47" s="18" t="s">
        <v>252</v>
      </c>
      <c r="J47" s="16" t="s">
        <v>253</v>
      </c>
      <c r="K47" s="19" t="s">
        <v>254</v>
      </c>
      <c r="L47" s="14">
        <v>2731216510011</v>
      </c>
      <c r="M47" s="18" t="s">
        <v>255</v>
      </c>
      <c r="N47" s="16" t="s">
        <v>274</v>
      </c>
      <c r="O47" s="107" t="s">
        <v>256</v>
      </c>
      <c r="P47" s="18" t="s">
        <v>316</v>
      </c>
      <c r="Q47" s="16" t="s">
        <v>314</v>
      </c>
    </row>
    <row r="48" spans="1:19" ht="19.350000000000001" customHeight="1">
      <c r="A48" s="17">
        <v>3</v>
      </c>
      <c r="B48" s="13" t="s">
        <v>243</v>
      </c>
      <c r="C48" s="44" t="s">
        <v>185</v>
      </c>
      <c r="D48" s="14">
        <v>2380404400133</v>
      </c>
      <c r="E48" s="14">
        <f ca="1">DATEDIF(DATE(MID(D48,2,2),MID(D48,4,2),MID(D48,6,2)),TODAY(),"y")</f>
        <v>88</v>
      </c>
      <c r="F48" s="15">
        <f>DATE(IF(LEFT(D48,1)*1&lt;=2,MID(D48,2,2),MID(D48,2,2)+100),MID(D48,4,2),MID(D48,6,2))</f>
        <v>13974</v>
      </c>
      <c r="G48" s="16" t="s">
        <v>244</v>
      </c>
      <c r="H48" s="17">
        <v>1622</v>
      </c>
      <c r="I48" s="18" t="s">
        <v>234</v>
      </c>
      <c r="J48" s="16" t="s">
        <v>245</v>
      </c>
      <c r="K48" s="19" t="s">
        <v>246</v>
      </c>
      <c r="L48" s="14">
        <v>1490613400558</v>
      </c>
      <c r="M48" s="18" t="s">
        <v>247</v>
      </c>
      <c r="N48" s="16" t="s">
        <v>248</v>
      </c>
      <c r="O48" s="110" t="s">
        <v>249</v>
      </c>
      <c r="P48" s="18" t="s">
        <v>317</v>
      </c>
      <c r="Q48" s="1" t="s">
        <v>52</v>
      </c>
    </row>
    <row r="49" spans="1:17" ht="19.350000000000001" customHeight="1">
      <c r="A49" s="17">
        <v>4</v>
      </c>
      <c r="B49" s="19" t="s">
        <v>232</v>
      </c>
      <c r="C49" s="44" t="s">
        <v>186</v>
      </c>
      <c r="D49" s="14">
        <v>2450514400505</v>
      </c>
      <c r="E49" s="14">
        <f ca="1">DATEDIF(DATE(MID(D49,2,2),MID(D49,4,2),MID(D49,6,2)),TODAY(),"y")</f>
        <v>81</v>
      </c>
      <c r="F49" s="15">
        <f>DATE(IF(LEFT(D49,1)*1&lt;=2,MID(D49,2,2),MID(D49,2,2)+100),MID(D49,4,2),MID(D49,6,2))</f>
        <v>16571</v>
      </c>
      <c r="G49" s="16" t="s">
        <v>233</v>
      </c>
      <c r="H49" s="17">
        <v>1635</v>
      </c>
      <c r="I49" s="18" t="s">
        <v>234</v>
      </c>
      <c r="J49" s="61" t="s">
        <v>235</v>
      </c>
      <c r="K49" s="19" t="s">
        <v>236</v>
      </c>
      <c r="L49" s="14">
        <v>2710403461531</v>
      </c>
      <c r="M49" s="18" t="s">
        <v>237</v>
      </c>
      <c r="N49" s="61" t="s">
        <v>238</v>
      </c>
      <c r="O49" s="109" t="s">
        <v>242</v>
      </c>
      <c r="P49" s="18" t="s">
        <v>317</v>
      </c>
      <c r="Q49" s="1" t="s">
        <v>52</v>
      </c>
    </row>
    <row r="50" spans="1:17" ht="19.350000000000001" customHeight="1">
      <c r="A50" s="17">
        <v>5</v>
      </c>
      <c r="B50" s="37" t="s">
        <v>209</v>
      </c>
      <c r="C50" s="55" t="s">
        <v>186</v>
      </c>
      <c r="D50" s="38">
        <v>2590513400640</v>
      </c>
      <c r="E50" s="14">
        <f t="shared" ref="E50" ca="1" si="6">DATEDIF(DATE(MID(D50,2,2),MID(D50,4,2),MID(D50,6,2)),TODAY(),"y")</f>
        <v>67</v>
      </c>
      <c r="F50" s="15">
        <f t="shared" ref="F50" si="7">DATE(IF(LEFT(D50,1)*1&lt;=2,MID(D50,2,2),MID(D50,2,2)+100),MID(D50,4,2),MID(D50,6,2))</f>
        <v>21683</v>
      </c>
      <c r="G50" s="16" t="s">
        <v>210</v>
      </c>
      <c r="H50" s="48">
        <v>1426</v>
      </c>
      <c r="I50" s="36" t="s">
        <v>211</v>
      </c>
      <c r="J50" s="1" t="s">
        <v>272</v>
      </c>
      <c r="K50" s="42" t="s">
        <v>212</v>
      </c>
      <c r="L50" s="39">
        <v>2870604450069</v>
      </c>
      <c r="M50" s="39" t="s">
        <v>213</v>
      </c>
      <c r="N50" s="103" t="s">
        <v>272</v>
      </c>
      <c r="O50" s="108">
        <v>730050794</v>
      </c>
      <c r="P50" s="18" t="s">
        <v>340</v>
      </c>
      <c r="Q50" s="1" t="s">
        <v>52</v>
      </c>
    </row>
    <row r="51" spans="1:17" ht="19.350000000000001" customHeight="1">
      <c r="A51" s="17">
        <v>6</v>
      </c>
      <c r="B51" s="13" t="s">
        <v>257</v>
      </c>
      <c r="C51" s="44" t="s">
        <v>184</v>
      </c>
      <c r="D51" s="14">
        <v>1530903400083</v>
      </c>
      <c r="E51" s="14">
        <f t="shared" ref="E51:E57" ca="1" si="8">DATEDIF(DATE(MID(D51,2,2),MID(D51,4,2),MID(D51,6,2)),TODAY(),"y")</f>
        <v>72</v>
      </c>
      <c r="F51" s="15">
        <f t="shared" ref="F51:F57" si="9">DATE(IF(LEFT(D51,1)*1&lt;=2,MID(D51,2,2),MID(D51,2,2)+100),MID(D51,4,2),MID(D51,6,2))</f>
        <v>19605</v>
      </c>
      <c r="G51" s="61" t="s">
        <v>258</v>
      </c>
      <c r="H51" s="17">
        <v>1679</v>
      </c>
      <c r="I51" s="18" t="s">
        <v>259</v>
      </c>
      <c r="J51" s="16" t="s">
        <v>260</v>
      </c>
      <c r="K51" s="19" t="s">
        <v>261</v>
      </c>
      <c r="L51" s="14">
        <v>2791109410090</v>
      </c>
      <c r="M51" s="18" t="s">
        <v>262</v>
      </c>
      <c r="N51" s="102" t="s">
        <v>260</v>
      </c>
      <c r="O51" s="107" t="s">
        <v>263</v>
      </c>
      <c r="P51" s="18" t="s">
        <v>350</v>
      </c>
      <c r="Q51" s="16" t="s">
        <v>351</v>
      </c>
    </row>
    <row r="52" spans="1:17" ht="19.350000000000001" customHeight="1">
      <c r="A52" s="17">
        <v>7</v>
      </c>
      <c r="B52" s="13" t="s">
        <v>121</v>
      </c>
      <c r="C52" s="44" t="s">
        <v>185</v>
      </c>
      <c r="D52" s="14">
        <v>1490304034969</v>
      </c>
      <c r="E52" s="14">
        <f t="shared" ca="1" si="8"/>
        <v>77</v>
      </c>
      <c r="F52" s="15">
        <f t="shared" si="9"/>
        <v>17961</v>
      </c>
      <c r="G52" s="16" t="s">
        <v>123</v>
      </c>
      <c r="H52" s="17">
        <v>630</v>
      </c>
      <c r="I52" s="18" t="s">
        <v>124</v>
      </c>
      <c r="J52" s="16" t="s">
        <v>122</v>
      </c>
      <c r="K52" s="19" t="s">
        <v>125</v>
      </c>
      <c r="L52" s="14">
        <v>2740804034991</v>
      </c>
      <c r="M52" s="18" t="s">
        <v>128</v>
      </c>
      <c r="N52" s="111" t="s">
        <v>197</v>
      </c>
      <c r="O52" s="109" t="s">
        <v>126</v>
      </c>
      <c r="P52" s="18" t="s">
        <v>343</v>
      </c>
      <c r="Q52" s="16" t="s">
        <v>351</v>
      </c>
    </row>
    <row r="53" spans="1:17" ht="19.350000000000001" customHeight="1">
      <c r="A53" s="17">
        <v>8</v>
      </c>
      <c r="B53" s="13" t="s">
        <v>156</v>
      </c>
      <c r="C53" s="44" t="s">
        <v>187</v>
      </c>
      <c r="D53" s="14">
        <v>2480423341337</v>
      </c>
      <c r="E53" s="14">
        <f t="shared" ca="1" si="8"/>
        <v>78</v>
      </c>
      <c r="F53" s="15">
        <f t="shared" si="9"/>
        <v>17646</v>
      </c>
      <c r="G53" s="16" t="s">
        <v>157</v>
      </c>
      <c r="H53" s="17">
        <v>841</v>
      </c>
      <c r="I53" s="18" t="s">
        <v>158</v>
      </c>
      <c r="J53" s="16" t="s">
        <v>152</v>
      </c>
      <c r="K53" s="19" t="s">
        <v>153</v>
      </c>
      <c r="L53" s="14">
        <v>2720323173161</v>
      </c>
      <c r="M53" s="18" t="s">
        <v>154</v>
      </c>
      <c r="N53" s="16" t="s">
        <v>159</v>
      </c>
      <c r="O53" s="18" t="s">
        <v>155</v>
      </c>
      <c r="P53" s="18" t="s">
        <v>368</v>
      </c>
      <c r="Q53" s="16" t="s">
        <v>369</v>
      </c>
    </row>
    <row r="54" spans="1:17" ht="19.350000000000001" customHeight="1">
      <c r="A54" s="17">
        <v>9</v>
      </c>
      <c r="B54" s="13" t="s">
        <v>333</v>
      </c>
      <c r="C54" s="106" t="s">
        <v>186</v>
      </c>
      <c r="D54" s="14">
        <v>1490527400462</v>
      </c>
      <c r="E54" s="14">
        <f t="shared" ca="1" si="8"/>
        <v>77</v>
      </c>
      <c r="F54" s="15">
        <f t="shared" si="9"/>
        <v>18045</v>
      </c>
      <c r="G54" s="123" t="s">
        <v>334</v>
      </c>
      <c r="H54" s="105">
        <v>102</v>
      </c>
      <c r="I54" s="45" t="s">
        <v>328</v>
      </c>
      <c r="J54" s="104" t="s">
        <v>335</v>
      </c>
      <c r="K54" s="19" t="s">
        <v>336</v>
      </c>
      <c r="L54" s="126">
        <v>1470804400249</v>
      </c>
      <c r="M54" s="127" t="s">
        <v>337</v>
      </c>
      <c r="N54" s="101" t="s">
        <v>338</v>
      </c>
      <c r="O54" s="124">
        <v>744778943</v>
      </c>
      <c r="P54" s="124" t="s">
        <v>377</v>
      </c>
      <c r="Q54" s="125" t="s">
        <v>378</v>
      </c>
    </row>
    <row r="55" spans="1:17" ht="19.350000000000001" customHeight="1">
      <c r="A55" s="17">
        <v>10</v>
      </c>
      <c r="B55" s="13" t="s">
        <v>326</v>
      </c>
      <c r="C55" s="44" t="s">
        <v>188</v>
      </c>
      <c r="D55" s="14">
        <v>2420318151779</v>
      </c>
      <c r="E55" s="14">
        <f t="shared" ca="1" si="8"/>
        <v>84</v>
      </c>
      <c r="F55" s="15">
        <f t="shared" si="9"/>
        <v>15418</v>
      </c>
      <c r="G55" s="104" t="s">
        <v>327</v>
      </c>
      <c r="H55" s="17">
        <v>88</v>
      </c>
      <c r="I55" s="45" t="s">
        <v>328</v>
      </c>
      <c r="J55" s="104" t="s">
        <v>339</v>
      </c>
      <c r="K55" s="19" t="s">
        <v>329</v>
      </c>
      <c r="L55" s="14">
        <v>2960523152491</v>
      </c>
      <c r="M55" s="18" t="s">
        <v>330</v>
      </c>
      <c r="N55" s="16" t="s">
        <v>331</v>
      </c>
      <c r="O55" s="109" t="s">
        <v>332</v>
      </c>
      <c r="P55" s="18" t="s">
        <v>405</v>
      </c>
      <c r="Q55" s="1" t="s">
        <v>52</v>
      </c>
    </row>
    <row r="56" spans="1:17" ht="19.350000000000001" customHeight="1">
      <c r="A56" s="17">
        <v>11</v>
      </c>
      <c r="B56" s="13" t="s">
        <v>360</v>
      </c>
      <c r="C56" s="44" t="s">
        <v>186</v>
      </c>
      <c r="D56" s="14">
        <v>2451116400400</v>
      </c>
      <c r="E56" s="14">
        <f t="shared" ca="1" si="8"/>
        <v>80</v>
      </c>
      <c r="F56" s="15">
        <f t="shared" si="9"/>
        <v>16757</v>
      </c>
      <c r="G56" s="16" t="s">
        <v>361</v>
      </c>
      <c r="H56" s="17">
        <v>206</v>
      </c>
      <c r="I56" s="18" t="s">
        <v>362</v>
      </c>
      <c r="J56" s="16" t="s">
        <v>363</v>
      </c>
      <c r="K56" s="19" t="s">
        <v>364</v>
      </c>
      <c r="L56" s="14">
        <v>1821120450077</v>
      </c>
      <c r="M56" s="18" t="s">
        <v>365</v>
      </c>
      <c r="N56" s="16" t="s">
        <v>366</v>
      </c>
      <c r="O56" s="109" t="s">
        <v>367</v>
      </c>
      <c r="P56" s="18" t="s">
        <v>401</v>
      </c>
      <c r="Q56" s="1" t="s">
        <v>52</v>
      </c>
    </row>
    <row r="57" spans="1:17" ht="19.350000000000001" customHeight="1">
      <c r="A57" s="17">
        <v>12</v>
      </c>
      <c r="B57" s="13" t="s">
        <v>380</v>
      </c>
      <c r="C57" s="44" t="s">
        <v>186</v>
      </c>
      <c r="D57" s="20">
        <v>2411115400165</v>
      </c>
      <c r="E57" s="14">
        <f t="shared" ca="1" si="8"/>
        <v>84</v>
      </c>
      <c r="F57" s="15">
        <f t="shared" si="9"/>
        <v>15295</v>
      </c>
      <c r="G57" s="16" t="s">
        <v>381</v>
      </c>
      <c r="H57" s="17">
        <v>263</v>
      </c>
      <c r="I57" s="18" t="s">
        <v>382</v>
      </c>
      <c r="J57" s="16" t="s">
        <v>383</v>
      </c>
      <c r="K57" s="19" t="s">
        <v>384</v>
      </c>
      <c r="L57" s="14">
        <v>1780127433011</v>
      </c>
      <c r="M57" s="18" t="s">
        <v>385</v>
      </c>
      <c r="N57" s="16" t="s">
        <v>386</v>
      </c>
      <c r="O57" s="109" t="s">
        <v>387</v>
      </c>
      <c r="P57" s="18" t="s">
        <v>402</v>
      </c>
      <c r="Q57" s="1" t="s">
        <v>52</v>
      </c>
    </row>
    <row r="58" spans="1:17" ht="19.350000000000001" customHeight="1">
      <c r="A58" s="17">
        <v>13</v>
      </c>
      <c r="B58" s="37" t="s">
        <v>290</v>
      </c>
      <c r="C58" s="55" t="s">
        <v>296</v>
      </c>
      <c r="D58" s="38">
        <v>1700813450047</v>
      </c>
      <c r="E58" s="39">
        <f ca="1">DATEDIF(DATE(MID(D58,2,2),MID(D58,4,2),MID(D58,6,2)),TODAY(),"y")</f>
        <v>55</v>
      </c>
      <c r="F58" s="40">
        <f>DATE(IF(LEFT(D58,1)*1&lt;=2,MID(D58,2,2),MID(D58,2,2)+100),MID(D58,4,2),MID(D58,6,2))</f>
        <v>25793</v>
      </c>
      <c r="G58" s="41" t="s">
        <v>291</v>
      </c>
      <c r="H58" s="48">
        <v>1766</v>
      </c>
      <c r="I58" s="36" t="s">
        <v>292</v>
      </c>
      <c r="J58" s="49" t="s">
        <v>293</v>
      </c>
      <c r="K58" s="42" t="s">
        <v>294</v>
      </c>
      <c r="L58" s="39">
        <v>2790204453019</v>
      </c>
      <c r="M58" s="39" t="s">
        <v>295</v>
      </c>
      <c r="N58" s="49" t="s">
        <v>293</v>
      </c>
      <c r="O58" s="60" t="s">
        <v>299</v>
      </c>
      <c r="P58" s="18" t="s">
        <v>404</v>
      </c>
      <c r="Q58" s="16" t="s">
        <v>52</v>
      </c>
    </row>
    <row r="59" spans="1:17" ht="19.350000000000001" customHeight="1">
      <c r="A59" s="17">
        <v>14</v>
      </c>
      <c r="B59" s="19" t="s">
        <v>175</v>
      </c>
      <c r="C59" s="128" t="s">
        <v>187</v>
      </c>
      <c r="D59" s="129">
        <v>1550323400097</v>
      </c>
      <c r="E59" s="119">
        <f ca="1">DATEDIF(DATE(MID(D59,2,2),MID(D59,4,2),MID(D59,6,2)),TODAY(),"y")</f>
        <v>71</v>
      </c>
      <c r="F59" s="120">
        <f>DATE(IF(LEFT(D59,1)*1&lt;=2,MID(D59,2,2),MID(D59,2,2)+100),MID(D59,4,2),MID(D59,6,2))</f>
        <v>20171</v>
      </c>
      <c r="G59" s="121" t="s">
        <v>177</v>
      </c>
      <c r="H59" s="122">
        <v>1069</v>
      </c>
      <c r="I59" s="95" t="s">
        <v>178</v>
      </c>
      <c r="J59" s="16" t="s">
        <v>176</v>
      </c>
      <c r="K59" s="118" t="s">
        <v>179</v>
      </c>
      <c r="L59" s="119">
        <v>1680504414542</v>
      </c>
      <c r="M59" s="95" t="s">
        <v>180</v>
      </c>
      <c r="N59" s="121" t="s">
        <v>176</v>
      </c>
      <c r="O59" s="18">
        <v>763543430</v>
      </c>
      <c r="P59" s="18" t="s">
        <v>408</v>
      </c>
      <c r="Q59" s="16" t="s">
        <v>52</v>
      </c>
    </row>
    <row r="60" spans="1:17" ht="19.350000000000001" customHeight="1">
      <c r="A60" s="17">
        <v>15</v>
      </c>
      <c r="B60" s="19" t="s">
        <v>370</v>
      </c>
      <c r="C60" s="54" t="s">
        <v>185</v>
      </c>
      <c r="D60" s="96">
        <v>2390224344241</v>
      </c>
      <c r="E60" s="56">
        <v>71</v>
      </c>
      <c r="F60" s="57">
        <v>20172</v>
      </c>
      <c r="G60" s="16" t="s">
        <v>371</v>
      </c>
      <c r="H60" s="17">
        <v>242</v>
      </c>
      <c r="I60" s="18" t="s">
        <v>368</v>
      </c>
      <c r="J60" s="1" t="s">
        <v>372</v>
      </c>
      <c r="K60" s="19" t="s">
        <v>374</v>
      </c>
      <c r="L60" s="24">
        <v>2670723451529</v>
      </c>
      <c r="M60" s="18" t="s">
        <v>375</v>
      </c>
      <c r="N60" s="16" t="s">
        <v>372</v>
      </c>
      <c r="O60" s="18">
        <v>771395802</v>
      </c>
      <c r="P60" s="18" t="s">
        <v>417</v>
      </c>
      <c r="Q60" s="16" t="s">
        <v>418</v>
      </c>
    </row>
    <row r="61" spans="1:17" ht="19.350000000000001" customHeight="1">
      <c r="A61" s="17">
        <v>16</v>
      </c>
      <c r="B61" s="13" t="s">
        <v>419</v>
      </c>
      <c r="C61" s="44" t="s">
        <v>186</v>
      </c>
      <c r="D61" s="14">
        <v>1530803382749</v>
      </c>
      <c r="E61" s="14">
        <f t="shared" ref="E61:E66" ca="1" si="10">DATEDIF(DATE(MID(D61,2,2),MID(D61,4,2),MID(D61,6,2)),TODAY(),"y")</f>
        <v>72</v>
      </c>
      <c r="F61" s="15">
        <f t="shared" ref="F61:F66" si="11">DATE(IF(LEFT(D61,1)*1&lt;=2,MID(D61,2,2),MID(D61,2,2)+100),MID(D61,4,2),MID(D61,6,2))</f>
        <v>19574</v>
      </c>
      <c r="G61" s="16" t="s">
        <v>420</v>
      </c>
      <c r="H61" s="17">
        <v>481</v>
      </c>
      <c r="I61" s="18" t="s">
        <v>421</v>
      </c>
      <c r="J61" s="16" t="s">
        <v>422</v>
      </c>
      <c r="K61" s="19" t="s">
        <v>423</v>
      </c>
      <c r="L61" s="14">
        <v>2780407382740</v>
      </c>
      <c r="M61" s="18" t="s">
        <v>424</v>
      </c>
      <c r="N61" s="16" t="s">
        <v>425</v>
      </c>
      <c r="O61" s="109" t="s">
        <v>426</v>
      </c>
      <c r="P61" s="18" t="s">
        <v>444</v>
      </c>
      <c r="Q61" s="16" t="s">
        <v>445</v>
      </c>
    </row>
    <row r="62" spans="1:17" ht="19.350000000000001" customHeight="1">
      <c r="A62" s="19">
        <v>17</v>
      </c>
      <c r="B62" s="13" t="s">
        <v>352</v>
      </c>
      <c r="C62" s="44" t="s">
        <v>186</v>
      </c>
      <c r="D62" s="20">
        <v>2390922400477</v>
      </c>
      <c r="E62" s="14">
        <f t="shared" ca="1" si="10"/>
        <v>86</v>
      </c>
      <c r="F62" s="15">
        <f t="shared" si="11"/>
        <v>14510</v>
      </c>
      <c r="G62" s="16" t="s">
        <v>353</v>
      </c>
      <c r="H62" s="17">
        <v>192</v>
      </c>
      <c r="I62" s="18" t="s">
        <v>354</v>
      </c>
      <c r="J62" s="1" t="s">
        <v>355</v>
      </c>
      <c r="K62" s="19" t="s">
        <v>356</v>
      </c>
      <c r="L62" s="117">
        <v>1700411441527</v>
      </c>
      <c r="M62" s="61" t="s">
        <v>357</v>
      </c>
      <c r="N62" s="16" t="s">
        <v>358</v>
      </c>
      <c r="O62" s="109" t="s">
        <v>359</v>
      </c>
      <c r="P62" s="18" t="s">
        <v>453</v>
      </c>
      <c r="Q62" s="16" t="s">
        <v>454</v>
      </c>
    </row>
    <row r="63" spans="1:17" ht="19.350000000000001" customHeight="1">
      <c r="A63" s="137">
        <v>18</v>
      </c>
      <c r="B63" s="13" t="s">
        <v>318</v>
      </c>
      <c r="C63" s="44" t="s">
        <v>186</v>
      </c>
      <c r="D63" s="20">
        <v>2410907521594</v>
      </c>
      <c r="E63" s="14">
        <f t="shared" ca="1" si="10"/>
        <v>84</v>
      </c>
      <c r="F63" s="15">
        <f t="shared" si="11"/>
        <v>15226</v>
      </c>
      <c r="G63" s="16" t="s">
        <v>319</v>
      </c>
      <c r="H63" s="17">
        <v>73</v>
      </c>
      <c r="I63" s="45" t="s">
        <v>320</v>
      </c>
      <c r="J63" s="16" t="s">
        <v>321</v>
      </c>
      <c r="K63" s="19" t="s">
        <v>322</v>
      </c>
      <c r="L63" s="14">
        <v>1671113443068</v>
      </c>
      <c r="M63" s="18" t="s">
        <v>323</v>
      </c>
      <c r="N63" s="16" t="s">
        <v>324</v>
      </c>
      <c r="O63" s="109" t="s">
        <v>325</v>
      </c>
      <c r="P63" s="18" t="s">
        <v>455</v>
      </c>
      <c r="Q63" s="16" t="s">
        <v>454</v>
      </c>
    </row>
    <row r="64" spans="1:17" ht="19.350000000000001" customHeight="1">
      <c r="A64" s="137">
        <v>19</v>
      </c>
      <c r="B64" s="13" t="s">
        <v>129</v>
      </c>
      <c r="C64" s="44" t="s">
        <v>185</v>
      </c>
      <c r="D64" s="138">
        <v>2411115400165</v>
      </c>
      <c r="E64" s="14">
        <f t="shared" ca="1" si="10"/>
        <v>84</v>
      </c>
      <c r="F64" s="15">
        <f t="shared" si="11"/>
        <v>15295</v>
      </c>
      <c r="G64" s="16" t="s">
        <v>48</v>
      </c>
      <c r="H64" s="17">
        <v>183</v>
      </c>
      <c r="I64" s="18" t="s">
        <v>59</v>
      </c>
      <c r="J64" s="16" t="s">
        <v>471</v>
      </c>
      <c r="K64" s="19" t="s">
        <v>140</v>
      </c>
      <c r="L64" s="14">
        <v>2630704400095</v>
      </c>
      <c r="M64" s="18" t="s">
        <v>49</v>
      </c>
      <c r="N64" s="16" t="s">
        <v>472</v>
      </c>
      <c r="O64" s="109" t="s">
        <v>47</v>
      </c>
      <c r="P64" s="18" t="s">
        <v>473</v>
      </c>
      <c r="Q64" s="16" t="s">
        <v>454</v>
      </c>
    </row>
    <row r="65" spans="1:17" ht="19.350000000000001" customHeight="1">
      <c r="A65" s="137">
        <v>20</v>
      </c>
      <c r="B65" s="13" t="s">
        <v>115</v>
      </c>
      <c r="C65" s="54" t="s">
        <v>186</v>
      </c>
      <c r="D65" s="138">
        <v>2431110400581</v>
      </c>
      <c r="E65" s="14">
        <f t="shared" ca="1" si="10"/>
        <v>82</v>
      </c>
      <c r="F65" s="15">
        <f t="shared" si="11"/>
        <v>16020</v>
      </c>
      <c r="G65" s="16" t="s">
        <v>26</v>
      </c>
      <c r="H65" s="17">
        <v>123</v>
      </c>
      <c r="I65" s="18" t="s">
        <v>58</v>
      </c>
      <c r="J65" s="16" t="s">
        <v>67</v>
      </c>
      <c r="K65" s="19" t="s">
        <v>144</v>
      </c>
      <c r="L65" s="14">
        <v>2750706471029</v>
      </c>
      <c r="M65" s="18" t="s">
        <v>27</v>
      </c>
      <c r="N65" s="16" t="s">
        <v>40</v>
      </c>
      <c r="O65" s="109" t="s">
        <v>9</v>
      </c>
      <c r="P65" s="18" t="s">
        <v>476</v>
      </c>
      <c r="Q65" s="16" t="s">
        <v>475</v>
      </c>
    </row>
    <row r="66" spans="1:17" ht="19.350000000000001" customHeight="1">
      <c r="A66" s="137">
        <v>21</v>
      </c>
      <c r="B66" s="13" t="s">
        <v>427</v>
      </c>
      <c r="C66" s="44" t="s">
        <v>186</v>
      </c>
      <c r="D66" s="138">
        <v>1541208511682</v>
      </c>
      <c r="E66" s="14">
        <f t="shared" ca="1" si="10"/>
        <v>71</v>
      </c>
      <c r="F66" s="15">
        <f t="shared" si="11"/>
        <v>20066</v>
      </c>
      <c r="G66" s="61" t="s">
        <v>428</v>
      </c>
      <c r="H66" s="17">
        <v>495</v>
      </c>
      <c r="I66" s="18" t="s">
        <v>429</v>
      </c>
      <c r="J66" s="61" t="s">
        <v>430</v>
      </c>
      <c r="K66" s="19" t="s">
        <v>434</v>
      </c>
      <c r="L66" s="14">
        <v>1820220511624</v>
      </c>
      <c r="M66" s="18" t="s">
        <v>431</v>
      </c>
      <c r="N66" s="16" t="s">
        <v>432</v>
      </c>
      <c r="O66" s="109" t="s">
        <v>433</v>
      </c>
      <c r="P66" s="18" t="s">
        <v>506</v>
      </c>
      <c r="Q66" s="1" t="s">
        <v>507</v>
      </c>
    </row>
    <row r="67" spans="1:17" ht="19.350000000000001" customHeight="1">
      <c r="A67" s="137">
        <v>22</v>
      </c>
      <c r="B67" s="13" t="s">
        <v>456</v>
      </c>
      <c r="C67" s="44" t="s">
        <v>185</v>
      </c>
      <c r="D67" s="138">
        <v>1390419400155</v>
      </c>
      <c r="E67" s="14">
        <f ca="1">DATEDIF(DATE(MID(D67,2,2),MID(D67,4,2),MID(D67,6,2)),TODAY(),"y")</f>
        <v>87</v>
      </c>
      <c r="F67" s="15">
        <f>DATE(IF(LEFT(D67,1)*1&lt;=2,MID(D67,2,2),MID(D67,2,2)+100),MID(D67,4,2),MID(D67,6,2))</f>
        <v>14354</v>
      </c>
      <c r="G67" s="16" t="s">
        <v>457</v>
      </c>
      <c r="H67" s="17">
        <v>586</v>
      </c>
      <c r="I67" s="18" t="s">
        <v>458</v>
      </c>
      <c r="J67" s="16" t="s">
        <v>459</v>
      </c>
      <c r="K67" s="19" t="s">
        <v>460</v>
      </c>
      <c r="L67" s="14">
        <v>1600802400101</v>
      </c>
      <c r="M67" s="18" t="s">
        <v>461</v>
      </c>
      <c r="N67" s="16" t="s">
        <v>462</v>
      </c>
      <c r="O67" s="109" t="s">
        <v>470</v>
      </c>
      <c r="P67" s="18" t="s">
        <v>508</v>
      </c>
      <c r="Q67" s="16" t="s">
        <v>454</v>
      </c>
    </row>
    <row r="68" spans="1:17" ht="19.350000000000001" customHeight="1">
      <c r="A68" s="137">
        <v>23</v>
      </c>
      <c r="B68" s="13" t="s">
        <v>477</v>
      </c>
      <c r="C68" s="44" t="s">
        <v>186</v>
      </c>
      <c r="D68" s="20">
        <v>2460709400103</v>
      </c>
      <c r="E68" s="14">
        <f ca="1">DATEDIF(DATE(MID(D14,2,2),MID(D14,4,2),MID(D14,6,2)),TODAY(),"y")</f>
        <v>89</v>
      </c>
      <c r="F68" s="15">
        <f>DATE(IF(LEFT(D14,1)*1&lt;=2,MID(D14,2,2),MID(D14,2,2)+100),MID(D14,4,2),MID(D14,6,2))</f>
        <v>13657</v>
      </c>
      <c r="G68" s="16" t="s">
        <v>478</v>
      </c>
      <c r="H68" s="17">
        <v>749</v>
      </c>
      <c r="I68" s="18" t="s">
        <v>479</v>
      </c>
      <c r="J68" s="16" t="s">
        <v>480</v>
      </c>
      <c r="K68" s="19" t="s">
        <v>481</v>
      </c>
      <c r="L68" s="14">
        <v>740531463049</v>
      </c>
      <c r="M68" s="18" t="s">
        <v>482</v>
      </c>
      <c r="N68" s="16" t="s">
        <v>483</v>
      </c>
      <c r="O68" s="109" t="s">
        <v>484</v>
      </c>
      <c r="P68" s="18" t="s">
        <v>517</v>
      </c>
      <c r="Q68" s="16" t="s">
        <v>52</v>
      </c>
    </row>
    <row r="69" spans="1:17" ht="19.350000000000001" customHeight="1">
      <c r="A69" s="137">
        <v>24</v>
      </c>
      <c r="B69" s="13" t="s">
        <v>160</v>
      </c>
      <c r="C69" s="44" t="s">
        <v>186</v>
      </c>
      <c r="D69" s="139">
        <v>2470827400020</v>
      </c>
      <c r="E69" s="14">
        <f ca="1">DATEDIF(DATE(MID(D69,2,2),MID(D69,4,2),MID(D69,6,2)),TODAY(),"y")</f>
        <v>78</v>
      </c>
      <c r="F69" s="15">
        <f>DATE(IF(LEFT(D69,1)*1&lt;=2,MID(D69,2,2),MID(D69,2,2)+100),MID(D69,4,2),MID(D69,6,2))</f>
        <v>17406</v>
      </c>
      <c r="G69" s="16" t="s">
        <v>161</v>
      </c>
      <c r="H69" s="17">
        <v>865</v>
      </c>
      <c r="I69" s="45" t="s">
        <v>162</v>
      </c>
      <c r="J69" s="16" t="s">
        <v>163</v>
      </c>
      <c r="K69" s="19" t="s">
        <v>164</v>
      </c>
      <c r="L69" s="14">
        <v>1740211451511</v>
      </c>
      <c r="M69" s="18" t="s">
        <v>165</v>
      </c>
      <c r="N69" s="111" t="s">
        <v>166</v>
      </c>
      <c r="O69" s="112" t="s">
        <v>169</v>
      </c>
      <c r="P69" s="18" t="s">
        <v>530</v>
      </c>
      <c r="Q69" s="1" t="s">
        <v>529</v>
      </c>
    </row>
  </sheetData>
  <sortState xmlns:xlrd2="http://schemas.microsoft.com/office/spreadsheetml/2017/richdata2" ref="B3:S37">
    <sortCondition ref="B3:B37"/>
  </sortState>
  <hyperlinks>
    <hyperlink ref="S3" r:id="rId1" display="prestatii.dezabilitatii@dgaspc-sectorul1.ro" xr:uid="{E3DD9A22-E806-4EDC-93DD-99F53AB6E86F}"/>
    <hyperlink ref="S5" r:id="rId2" xr:uid="{FE5DF6CF-81B5-429E-8535-E34F63090152}"/>
    <hyperlink ref="S6" r:id="rId3" xr:uid="{AECA84CC-A86E-4A37-9D70-0B1F03BC2645}"/>
    <hyperlink ref="S7" r:id="rId4" xr:uid="{7EF336D7-F739-46D8-B4A2-488AA90AA330}"/>
    <hyperlink ref="S31" r:id="rId5" xr:uid="{3006940F-D5CE-4F17-A389-EF427940106B}"/>
    <hyperlink ref="S10" r:id="rId6" xr:uid="{2DFB6BDD-DF11-4446-A35D-1C41E9B4207E}"/>
    <hyperlink ref="S11" r:id="rId7" xr:uid="{E6040F45-71F8-4B28-BA96-ACABF3961974}"/>
    <hyperlink ref="S16" r:id="rId8" xr:uid="{80E2E504-7C7A-4409-A0F0-070BC636DE25}"/>
    <hyperlink ref="S17" r:id="rId9" xr:uid="{1977BD34-725E-48D6-B93F-3E9F082428CA}"/>
    <hyperlink ref="S12" r:id="rId10" xr:uid="{28BFA5C0-07AB-42AC-B7C5-BD8C4EC2B65C}"/>
    <hyperlink ref="S18" r:id="rId11" xr:uid="{A8EDF0B1-E83E-4496-8D43-A90C46C30011}"/>
    <hyperlink ref="S20" r:id="rId12" xr:uid="{92EF1081-C8B5-48F5-8976-FBC1DF869076}"/>
    <hyperlink ref="S22" r:id="rId13" xr:uid="{FE0E3850-32B7-48D3-8C1D-D6830B1EEA20}"/>
    <hyperlink ref="S32" r:id="rId14" xr:uid="{2FAAC6F0-AB98-49EA-8056-5076D2AA02F8}"/>
    <hyperlink ref="S35" r:id="rId15" xr:uid="{98891257-4E8A-4923-9157-8D43EBC4EB96}"/>
    <hyperlink ref="S36" r:id="rId16" xr:uid="{F126EA05-40EE-445E-B8C0-F168DEE1EE30}"/>
    <hyperlink ref="S37" r:id="rId17" xr:uid="{098C6560-8055-4A03-A034-3B4AC7D0D4F2}"/>
    <hyperlink ref="S40" r:id="rId18" xr:uid="{D3D613A9-6378-4A1C-BD5D-89B3E07643F8}"/>
    <hyperlink ref="S27" r:id="rId19" xr:uid="{E530F661-22FD-4902-ACF1-B25EA48510C7}"/>
    <hyperlink ref="S24" r:id="rId20" xr:uid="{F3BA595E-8FA5-4F65-9F2E-B84855555124}"/>
    <hyperlink ref="S28" r:id="rId21" xr:uid="{2E0AA128-0E95-435A-AF87-113BF42F8357}"/>
    <hyperlink ref="S26" r:id="rId22" xr:uid="{77998278-FCF0-40F9-A43F-0A41566D2E9F}"/>
    <hyperlink ref="S15" r:id="rId23" xr:uid="{41F7BE18-C592-4D16-9AFB-453D3215C029}"/>
    <hyperlink ref="S4" r:id="rId24" xr:uid="{FEB7D4DF-8428-44C1-B7A5-2AB5733C7F28}"/>
    <hyperlink ref="S8" r:id="rId25" xr:uid="{1A095C3D-CD5D-4EC7-B4AC-6FEB44F7729D}"/>
    <hyperlink ref="S9" r:id="rId26" xr:uid="{7320B2F1-1614-4A48-8AD2-19DFF223E3FA}"/>
    <hyperlink ref="S14" r:id="rId27" xr:uid="{916D4876-143D-48F5-B089-0B1D3CAA934E}"/>
    <hyperlink ref="S19" r:id="rId28" xr:uid="{8ED3E66F-9EFC-4085-9CE8-CDFF735CDF8C}"/>
  </hyperlinks>
  <pageMargins left="0.7" right="0.7" top="0.75" bottom="0.75" header="0.3" footer="0.3"/>
  <pageSetup orientation="landscape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Tabel benef + apartinatori</vt:lpstr>
      <vt:lpstr>'Tabel benef + apartinatori'!_Hlk194741660</vt:lpstr>
      <vt:lpstr>'Tabel benef + apartinatori'!_Hlk202005485</vt:lpstr>
      <vt:lpstr>'Tabel benef + apartinatori'!_Hlk206859573</vt:lpstr>
      <vt:lpstr>'Tabel benef + apartinatori'!_Hlk210197987</vt:lpstr>
      <vt:lpstr>'Tabel benef + apartinatori'!_Hlk210467940</vt:lpstr>
      <vt:lpstr>'Tabel benef + apartinatori'!_Hlk211440055</vt:lpstr>
      <vt:lpstr>'Tabel benef + apartinatori'!_Hlk212056727</vt:lpstr>
      <vt:lpstr>'Tabel benef + apartinatori'!_Hlk214453830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Beniamin Caraulasu</dc:creator>
  <cp:lastModifiedBy>Pc</cp:lastModifiedBy>
  <cp:lastPrinted>2026-07-03T17:06:33Z</cp:lastPrinted>
  <dcterms:created xsi:type="dcterms:W3CDTF">2024-06-10T19:29:00Z</dcterms:created>
  <dcterms:modified xsi:type="dcterms:W3CDTF">2026-07-27T10:09:11Z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B3E6F54C15C3402ABAB445B034CE32D9_12</vt:lpwstr>
  </property>
  <property fmtid="{D5CDD505-2E9C-101B-9397-08002B2CF9AE}" pid="3" name="KSOProductBuildVer">
    <vt:lpwstr>1033-12.2.0.17545</vt:lpwstr>
  </property>
</Properties>
</file>